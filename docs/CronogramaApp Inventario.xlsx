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12C - 03\Downloads\"/>
    </mc:Choice>
  </mc:AlternateContent>
  <xr:revisionPtr revIDLastSave="0" documentId="13_ncr:1_{73C8C821-07BA-42AD-8AC5-480D4C519E5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" sheetId="1" r:id="rId1"/>
    <sheet name="Requerimientos" sheetId="2" r:id="rId2"/>
    <sheet name="Sprints" sheetId="3" r:id="rId3"/>
    <sheet name="Base de datos" sheetId="4" r:id="rId4"/>
    <sheet name="Festivos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" l="1"/>
  <c r="E16" i="1"/>
  <c r="F16" i="1"/>
  <c r="D17" i="3"/>
  <c r="B15" i="3"/>
  <c r="B14" i="3"/>
  <c r="B13" i="3"/>
  <c r="B12" i="3"/>
  <c r="B11" i="3"/>
  <c r="B10" i="3"/>
  <c r="B9" i="3"/>
  <c r="B8" i="3"/>
  <c r="B7" i="3"/>
  <c r="B6" i="3"/>
  <c r="B5" i="3"/>
  <c r="D9" i="1"/>
  <c r="F9" i="1" s="1"/>
  <c r="G6" i="1"/>
  <c r="G7" i="1" s="1"/>
  <c r="D65" i="1" l="1"/>
  <c r="D66" i="1"/>
  <c r="G4" i="1"/>
  <c r="G5" i="1"/>
  <c r="E9" i="1"/>
  <c r="H6" i="1"/>
  <c r="H7" i="1" l="1"/>
  <c r="H5" i="1"/>
  <c r="I6" i="1"/>
  <c r="H4" i="1"/>
  <c r="D10" i="1"/>
  <c r="E10" i="1" l="1"/>
  <c r="F10" i="1"/>
  <c r="I5" i="1"/>
  <c r="I7" i="1"/>
  <c r="J6" i="1"/>
  <c r="I4" i="1"/>
  <c r="J5" i="1" l="1"/>
  <c r="J7" i="1"/>
  <c r="K6" i="1"/>
  <c r="J4" i="1"/>
  <c r="D11" i="1"/>
  <c r="E11" i="1" l="1"/>
  <c r="F11" i="1"/>
  <c r="K5" i="1"/>
  <c r="K4" i="1"/>
  <c r="K7" i="1"/>
  <c r="L6" i="1"/>
  <c r="L7" i="1" l="1"/>
  <c r="M6" i="1"/>
  <c r="L5" i="1"/>
  <c r="L4" i="1"/>
  <c r="D12" i="1"/>
  <c r="E12" i="1" l="1"/>
  <c r="D13" i="1" s="1"/>
  <c r="F12" i="1"/>
  <c r="M7" i="1"/>
  <c r="M5" i="1"/>
  <c r="M4" i="1"/>
  <c r="N6" i="1"/>
  <c r="O6" i="1" l="1"/>
  <c r="N5" i="1"/>
  <c r="N4" i="1"/>
  <c r="N7" i="1"/>
  <c r="F13" i="1"/>
  <c r="E13" i="1"/>
  <c r="D15" i="1" s="1"/>
  <c r="O7" i="1" l="1"/>
  <c r="O5" i="1"/>
  <c r="P6" i="1"/>
  <c r="O4" i="1"/>
  <c r="F15" i="1"/>
  <c r="E15" i="1"/>
  <c r="P5" i="1" l="1"/>
  <c r="P7" i="1"/>
  <c r="Q6" i="1"/>
  <c r="P4" i="1"/>
  <c r="Q5" i="1" l="1"/>
  <c r="Q7" i="1"/>
  <c r="R6" i="1"/>
  <c r="Q4" i="1"/>
  <c r="D17" i="1" l="1"/>
  <c r="S6" i="1"/>
  <c r="R4" i="1"/>
  <c r="R7" i="1"/>
  <c r="R5" i="1"/>
  <c r="F17" i="1" l="1"/>
  <c r="E17" i="1"/>
  <c r="T6" i="1"/>
  <c r="S7" i="1"/>
  <c r="S5" i="1"/>
  <c r="S4" i="1"/>
  <c r="D18" i="1" l="1"/>
  <c r="T5" i="1"/>
  <c r="T7" i="1"/>
  <c r="U6" i="1"/>
  <c r="T4" i="1"/>
  <c r="U4" i="1" l="1"/>
  <c r="U7" i="1"/>
  <c r="V6" i="1"/>
  <c r="U5" i="1"/>
  <c r="E18" i="1"/>
  <c r="D19" i="1"/>
  <c r="F18" i="1"/>
  <c r="V7" i="1" l="1"/>
  <c r="W6" i="1"/>
  <c r="V5" i="1"/>
  <c r="V4" i="1"/>
  <c r="F19" i="1"/>
  <c r="E19" i="1"/>
  <c r="D20" i="1" s="1"/>
  <c r="E20" i="1" l="1"/>
  <c r="D22" i="1" s="1"/>
  <c r="F20" i="1"/>
  <c r="W5" i="1"/>
  <c r="W4" i="1"/>
  <c r="X6" i="1"/>
  <c r="W7" i="1"/>
  <c r="E22" i="1" l="1"/>
  <c r="D23" i="1"/>
  <c r="F22" i="1"/>
  <c r="X5" i="1"/>
  <c r="X4" i="1"/>
  <c r="Y6" i="1"/>
  <c r="X7" i="1"/>
  <c r="Y4" i="1" l="1"/>
  <c r="Y7" i="1"/>
  <c r="Y5" i="1"/>
  <c r="Z6" i="1"/>
  <c r="F23" i="1"/>
  <c r="E23" i="1"/>
  <c r="D24" i="1" s="1"/>
  <c r="Z7" i="1" l="1"/>
  <c r="Z5" i="1"/>
  <c r="Z4" i="1"/>
  <c r="AA6" i="1"/>
  <c r="F24" i="1"/>
  <c r="E24" i="1"/>
  <c r="D25" i="1" s="1"/>
  <c r="F25" i="1" l="1"/>
  <c r="E25" i="1"/>
  <c r="D26" i="1" s="1"/>
  <c r="AA7" i="1"/>
  <c r="AA5" i="1"/>
  <c r="AA4" i="1"/>
  <c r="AB6" i="1"/>
  <c r="AB7" i="1" l="1"/>
  <c r="AC6" i="1"/>
  <c r="AB5" i="1"/>
  <c r="AB4" i="1"/>
  <c r="F26" i="1"/>
  <c r="E26" i="1"/>
  <c r="D27" i="1"/>
  <c r="F27" i="1" l="1"/>
  <c r="E27" i="1"/>
  <c r="D28" i="1" s="1"/>
  <c r="AC7" i="1"/>
  <c r="AD6" i="1"/>
  <c r="AC5" i="1"/>
  <c r="AC4" i="1"/>
  <c r="E28" i="1" l="1"/>
  <c r="D30" i="1" s="1"/>
  <c r="F28" i="1"/>
  <c r="AD7" i="1"/>
  <c r="AE6" i="1"/>
  <c r="AD4" i="1"/>
  <c r="AD5" i="1"/>
  <c r="E30" i="1" l="1"/>
  <c r="F30" i="1"/>
  <c r="AE7" i="1"/>
  <c r="AF6" i="1"/>
  <c r="AE5" i="1"/>
  <c r="AE4" i="1"/>
  <c r="D31" i="1" l="1"/>
  <c r="AF4" i="1"/>
  <c r="AG6" i="1"/>
  <c r="AF7" i="1"/>
  <c r="AF5" i="1"/>
  <c r="F31" i="1" l="1"/>
  <c r="E31" i="1"/>
  <c r="AH6" i="1"/>
  <c r="AG5" i="1"/>
  <c r="AG7" i="1"/>
  <c r="AG4" i="1"/>
  <c r="AH4" i="1" l="1"/>
  <c r="AH5" i="1"/>
  <c r="AH7" i="1"/>
  <c r="AI6" i="1"/>
  <c r="D32" i="1"/>
  <c r="F32" i="1" l="1"/>
  <c r="E32" i="1"/>
  <c r="D33" i="1" s="1"/>
  <c r="AI7" i="1"/>
  <c r="AJ6" i="1"/>
  <c r="AI4" i="1"/>
  <c r="AI5" i="1"/>
  <c r="AJ5" i="1" l="1"/>
  <c r="AJ7" i="1"/>
  <c r="AK6" i="1"/>
  <c r="AJ4" i="1"/>
  <c r="E33" i="1"/>
  <c r="D35" i="1" s="1"/>
  <c r="F33" i="1"/>
  <c r="F35" i="1" l="1"/>
  <c r="E35" i="1"/>
  <c r="AL6" i="1"/>
  <c r="AK5" i="1"/>
  <c r="AK7" i="1"/>
  <c r="AK4" i="1"/>
  <c r="D36" i="1" l="1"/>
  <c r="AL7" i="1"/>
  <c r="AM6" i="1"/>
  <c r="AL5" i="1"/>
  <c r="AL4" i="1"/>
  <c r="AN6" i="1" l="1"/>
  <c r="AM4" i="1"/>
  <c r="AM5" i="1"/>
  <c r="AM7" i="1"/>
  <c r="F36" i="1"/>
  <c r="E36" i="1"/>
  <c r="D37" i="1" l="1"/>
  <c r="AN4" i="1"/>
  <c r="AN5" i="1"/>
  <c r="AN7" i="1"/>
  <c r="AO6" i="1"/>
  <c r="AO7" i="1" l="1"/>
  <c r="AP6" i="1"/>
  <c r="AO5" i="1"/>
  <c r="AO4" i="1"/>
  <c r="F37" i="1"/>
  <c r="E37" i="1"/>
  <c r="D38" i="1" s="1"/>
  <c r="E38" i="1" l="1"/>
  <c r="D40" i="1" s="1"/>
  <c r="F38" i="1"/>
  <c r="AP4" i="1"/>
  <c r="AP7" i="1"/>
  <c r="AQ6" i="1"/>
  <c r="AP5" i="1"/>
  <c r="F40" i="1" l="1"/>
  <c r="E40" i="1"/>
  <c r="AQ7" i="1"/>
  <c r="AR6" i="1"/>
  <c r="AQ5" i="1"/>
  <c r="AQ4" i="1"/>
  <c r="AR7" i="1" l="1"/>
  <c r="AS6" i="1"/>
  <c r="AR5" i="1"/>
  <c r="AR4" i="1"/>
  <c r="D41" i="1"/>
  <c r="F41" i="1" l="1"/>
  <c r="E41" i="1"/>
  <c r="AS5" i="1"/>
  <c r="AS7" i="1"/>
  <c r="AT6" i="1"/>
  <c r="AS4" i="1"/>
  <c r="AT7" i="1" l="1"/>
  <c r="AU6" i="1"/>
  <c r="AT5" i="1"/>
  <c r="AT4" i="1"/>
  <c r="D42" i="1"/>
  <c r="F42" i="1" l="1"/>
  <c r="E42" i="1"/>
  <c r="D43" i="1" s="1"/>
  <c r="AU5" i="1"/>
  <c r="AU4" i="1"/>
  <c r="AU7" i="1"/>
  <c r="AV6" i="1"/>
  <c r="AV5" i="1" l="1"/>
  <c r="AV4" i="1"/>
  <c r="AV7" i="1"/>
  <c r="AW6" i="1"/>
  <c r="F43" i="1"/>
  <c r="E43" i="1"/>
  <c r="D45" i="1" s="1"/>
  <c r="D46" i="1" l="1"/>
  <c r="F45" i="1"/>
  <c r="E45" i="1"/>
  <c r="AW4" i="1"/>
  <c r="AW7" i="1"/>
  <c r="AW5" i="1"/>
  <c r="AX6" i="1"/>
  <c r="AX5" i="1" l="1"/>
  <c r="AY6" i="1"/>
  <c r="AX7" i="1"/>
  <c r="AX4" i="1"/>
  <c r="F46" i="1"/>
  <c r="E46" i="1"/>
  <c r="D47" i="1" s="1"/>
  <c r="E47" i="1" l="1"/>
  <c r="D48" i="1" s="1"/>
  <c r="F47" i="1"/>
  <c r="AZ6" i="1"/>
  <c r="AY4" i="1"/>
  <c r="AY5" i="1"/>
  <c r="AY7" i="1"/>
  <c r="AZ7" i="1" l="1"/>
  <c r="BA6" i="1"/>
  <c r="AZ4" i="1"/>
  <c r="AZ5" i="1"/>
  <c r="F48" i="1"/>
  <c r="E48" i="1"/>
  <c r="D49" i="1" s="1"/>
  <c r="BA7" i="1" l="1"/>
  <c r="BB6" i="1"/>
  <c r="BA4" i="1"/>
  <c r="BA5" i="1"/>
  <c r="F49" i="1"/>
  <c r="E49" i="1"/>
  <c r="D51" i="1" s="1"/>
  <c r="E51" i="1" l="1"/>
  <c r="F51" i="1"/>
  <c r="BB7" i="1"/>
  <c r="BC6" i="1"/>
  <c r="BB4" i="1"/>
  <c r="BB5" i="1"/>
  <c r="BC7" i="1" l="1"/>
  <c r="BC5" i="1"/>
  <c r="BC4" i="1"/>
  <c r="D52" i="1"/>
  <c r="F52" i="1" l="1"/>
  <c r="E52" i="1"/>
  <c r="D53" i="1"/>
  <c r="F53" i="1" l="1"/>
  <c r="E53" i="1"/>
  <c r="D54" i="1" s="1"/>
  <c r="F54" i="1" l="1"/>
  <c r="E54" i="1"/>
  <c r="D56" i="1" s="1"/>
  <c r="F56" i="1" l="1"/>
  <c r="E56" i="1"/>
  <c r="D57" i="1" l="1"/>
  <c r="F57" i="1" l="1"/>
  <c r="D58" i="1"/>
  <c r="E57" i="1"/>
  <c r="F58" i="1" l="1"/>
  <c r="E58" i="1"/>
  <c r="D59" i="1" s="1"/>
  <c r="F59" i="1" l="1"/>
  <c r="E59" i="1"/>
  <c r="D61" i="1" s="1"/>
  <c r="F61" i="1" l="1"/>
  <c r="D62" i="1"/>
  <c r="E61" i="1"/>
  <c r="F62" i="1" l="1"/>
  <c r="E62" i="1"/>
  <c r="D63" i="1" s="1"/>
  <c r="F63" i="1" l="1"/>
  <c r="E63" i="1"/>
  <c r="D68" i="1" s="1"/>
  <c r="C11" i="3" l="1"/>
  <c r="C15" i="3"/>
  <c r="C14" i="3"/>
  <c r="C9" i="3"/>
  <c r="C10" i="3"/>
  <c r="C6" i="3"/>
  <c r="C8" i="3"/>
  <c r="C7" i="3"/>
  <c r="C5" i="3"/>
  <c r="E68" i="1"/>
  <c r="C13" i="3"/>
  <c r="C12" i="3"/>
  <c r="E66" i="1" l="1"/>
  <c r="E65" i="1"/>
  <c r="C65" i="1" s="1"/>
</calcChain>
</file>

<file path=xl/sharedStrings.xml><?xml version="1.0" encoding="utf-8"?>
<sst xmlns="http://schemas.openxmlformats.org/spreadsheetml/2006/main" count="779" uniqueCount="424">
  <si>
    <t>Cronograma - App de gestión de inventario para un pequeño negocio de tecnología</t>
  </si>
  <si>
    <t>Fecha de inicio</t>
  </si>
  <si>
    <t>Actividad</t>
  </si>
  <si>
    <t>Issue</t>
  </si>
  <si>
    <t>Días</t>
  </si>
  <si>
    <t>Inicio</t>
  </si>
  <si>
    <t>Fin</t>
  </si>
  <si>
    <t>Sprint</t>
  </si>
  <si>
    <t>Labores previas</t>
  </si>
  <si>
    <t>Levantamiento de requerimientos (entrevista al cliente)</t>
  </si>
  <si>
    <t>Crear épicas y tareas en GitHub Projects</t>
  </si>
  <si>
    <t>Diseño de la base de datos (colecciones y campos)</t>
  </si>
  <si>
    <t>Implementar la base de datos en Firebase</t>
  </si>
  <si>
    <t>Fin Labores Previas</t>
  </si>
  <si>
    <t>Épica 0 - Inicio de sesión y gestión de usuarios</t>
  </si>
  <si>
    <t>#51</t>
  </si>
  <si>
    <t>Arquitectura, proyecto Android y prototipo de pantallas</t>
  </si>
  <si>
    <t>Tarea 15 - Iniciar sesión (Login)</t>
  </si>
  <si>
    <t>#53</t>
  </si>
  <si>
    <t>Tarea 16 - Cerrar sesión (Logout)</t>
  </si>
  <si>
    <t>#54</t>
  </si>
  <si>
    <t>Tarea 17 - Recuperar y restablecer contraseña</t>
  </si>
  <si>
    <t>#55</t>
  </si>
  <si>
    <t>Tarea 18 - Listar, activar o desactivar usuarios</t>
  </si>
  <si>
    <t>#56</t>
  </si>
  <si>
    <t>Fin Épica 0</t>
  </si>
  <si>
    <t>Épica 1 - Gestión de productos</t>
  </si>
  <si>
    <t>#30</t>
  </si>
  <si>
    <t>Tarea 01 - Registrar producto (código de barras, serial, proveedor)</t>
  </si>
  <si>
    <t>#31</t>
  </si>
  <si>
    <t>Registrar y consultar proveedores</t>
  </si>
  <si>
    <t>Tarea 02 - Consultar productos</t>
  </si>
  <si>
    <t>#32</t>
  </si>
  <si>
    <t>Tarea 03 - Buscar producto (nombre o código de barras con cámara)</t>
  </si>
  <si>
    <t>#33</t>
  </si>
  <si>
    <t>Tarea 04 - Actualizar producto</t>
  </si>
  <si>
    <t>#34</t>
  </si>
  <si>
    <t>Tarea 05 - Eliminar producto</t>
  </si>
  <si>
    <t>#35</t>
  </si>
  <si>
    <t>Fin Épica 1</t>
  </si>
  <si>
    <t>Épica 2 - Control de inventario</t>
  </si>
  <si>
    <t>#36</t>
  </si>
  <si>
    <t>Tarea 06 - Consultar stock actual</t>
  </si>
  <si>
    <t>#37</t>
  </si>
  <si>
    <t>Tarea 07 - Registrar entrada (seriales, proveedor, fecha)</t>
  </si>
  <si>
    <t>#39</t>
  </si>
  <si>
    <t>Tarea 08 - Consultar historial de movimientos</t>
  </si>
  <si>
    <t>#40</t>
  </si>
  <si>
    <t>Fin Épica 2</t>
  </si>
  <si>
    <t>Épica 3 - Gestión de ventas</t>
  </si>
  <si>
    <t>#41</t>
  </si>
  <si>
    <t>Tarea 09 - Registrar venta (escáner y seriales)</t>
  </si>
  <si>
    <t>#42</t>
  </si>
  <si>
    <t>Tarea 10 - Descontar productos vendidos del inventario</t>
  </si>
  <si>
    <t>#43</t>
  </si>
  <si>
    <t>Tarea 11 - Consultar productos vendidos</t>
  </si>
  <si>
    <t>#44</t>
  </si>
  <si>
    <t>Fin Épica 3</t>
  </si>
  <si>
    <t>Épica 4 - Alertas de stock</t>
  </si>
  <si>
    <t>#45</t>
  </si>
  <si>
    <t>Tarea 12 - Definir stock mínimo</t>
  </si>
  <si>
    <t>#46</t>
  </si>
  <si>
    <t>Tarea 13 - Identificar productos con bajo stock</t>
  </si>
  <si>
    <t>#47</t>
  </si>
  <si>
    <t>Tarea 14 - Mostrar alerta de producto agotado</t>
  </si>
  <si>
    <t>#48</t>
  </si>
  <si>
    <t>Fin Épica 4</t>
  </si>
  <si>
    <t>Épica 5 - Acceso y seguridad</t>
  </si>
  <si>
    <t>#50</t>
  </si>
  <si>
    <t>Tarea 15 - Iniciar sesión</t>
  </si>
  <si>
    <t>#57</t>
  </si>
  <si>
    <t>Tarea 16 - Cerrar sesión</t>
  </si>
  <si>
    <t>#58</t>
  </si>
  <si>
    <t>Iniciar sesión</t>
  </si>
  <si>
    <t>#59</t>
  </si>
  <si>
    <t>Reglas de seguridad de Firestore</t>
  </si>
  <si>
    <t>Fin Épica 5</t>
  </si>
  <si>
    <t>Épica 6 - Reportes (nueva, crear en GitHub)</t>
  </si>
  <si>
    <t>Cierre diario de ventas</t>
  </si>
  <si>
    <t>Valoración total del inventario</t>
  </si>
  <si>
    <t>Productos más vendidos</t>
  </si>
  <si>
    <t>Fin Épica 6</t>
  </si>
  <si>
    <t>Pruebas y documentación</t>
  </si>
  <si>
    <t>Pruebas funcionales de todos los módulos</t>
  </si>
  <si>
    <t>Corrección de errores</t>
  </si>
  <si>
    <t>Documentación técnica y manual de usuario</t>
  </si>
  <si>
    <t>Fin Pruebas y Documentación</t>
  </si>
  <si>
    <t>Entrega del proyecto</t>
  </si>
  <si>
    <t>Revisión final con el equipo</t>
  </si>
  <si>
    <t>Presentación y entrega al docente</t>
  </si>
  <si>
    <t>Fin Entrega</t>
  </si>
  <si>
    <t>Calidad y seguimiento</t>
  </si>
  <si>
    <t>Control de calidad (revisión de avances en GitHub)</t>
  </si>
  <si>
    <t>Revisión del sprint con el profesor (viernes)</t>
  </si>
  <si>
    <t>Viernes</t>
  </si>
  <si>
    <t>Fin de proceso</t>
  </si>
  <si>
    <t>Fin del proyecto App de Inventario</t>
  </si>
  <si>
    <t>Requerimientos del cliente y cómo los resuelve la app</t>
  </si>
  <si>
    <t>#</t>
  </si>
  <si>
    <t>Necesidad o problema del cliente</t>
  </si>
  <si>
    <t>Cómo lo resuelve la app</t>
  </si>
  <si>
    <t>Tareas</t>
  </si>
  <si>
    <t>Dejar la hoja de cálculo: los registros manuales de entradas y salidas quedan mal.</t>
  </si>
  <si>
    <t>Formularios con campos obligatorios, lectura del código de barras con la cámara, código y serial únicos, stock que nunca queda negativo y cada cambio guardado con usuario y fecha.</t>
  </si>
  <si>
    <t>#31 #33 #39 #42 #43</t>
  </si>
  <si>
    <t>S5 a S8</t>
  </si>
  <si>
    <t>No hay alerta cuando se acaba el stock.</t>
  </si>
  <si>
    <t>Stock mínimo por producto, estado del stock recalculado en cada movimiento y alerta visible al abrir la app con productos bajos o agotados.</t>
  </si>
  <si>
    <t>#46 #47 #48</t>
  </si>
  <si>
    <t>S8</t>
  </si>
  <si>
    <t>Saber qué productos hay disponibles (visibilidad).</t>
  </si>
  <si>
    <t>Lista y buscador en tiempo real con el stock actual de cada producto y color según su estado.</t>
  </si>
  <si>
    <t>#32 #33 #37</t>
  </si>
  <si>
    <t>S5 y S6</t>
  </si>
  <si>
    <t>Saber qué productos se han vendido (control).</t>
  </si>
  <si>
    <t>Cada venta guarda productos, cantidades y seriales; consulta de vendidos por fechas.</t>
  </si>
  <si>
    <t>#42 #44</t>
  </si>
  <si>
    <t>S7 y S8</t>
  </si>
  <si>
    <t>Guardar serial, código de barras, nombre completo, proveedor, precio, fechas de entrada y salida y cantidades.</t>
  </si>
  <si>
    <t>Colecciones productos, proveedores, unidades (una por serial con fecha de entrada y salida) y movimientos.</t>
  </si>
  <si>
    <t>#31 #39 #43</t>
  </si>
  <si>
    <t>S2 y S3</t>
  </si>
  <si>
    <t>Todos operan el sistema, las 24 horas.</t>
  </si>
  <si>
    <t>Todos los usuarios activos registran productos, entradas y ventas; el administrador además gestiona usuarios. Firebase está en la nube y disponible todo el día.</t>
  </si>
  <si>
    <t>#53 a #56, reglas</t>
  </si>
  <si>
    <t>S4, S5 y S9</t>
  </si>
  <si>
    <t>Uso híbrido (computador y dispositivos móviles).</t>
  </si>
  <si>
    <t>Los datos están en la nube y se sincronizan en tiempo real entre dispositivos. La app Android funciona en celular y en tablet de mostrador; Firebase permite agregar luego una versión web con la misma base de datos.</t>
  </si>
  <si>
    <t>Arquitectura</t>
  </si>
  <si>
    <t>S4</t>
  </si>
  <si>
    <t>Reportes: cierre diario de ventas, valoración del inventario y productos más vendidos.</t>
  </si>
  <si>
    <t>Épica 6 nueva con los tres reportes. Se debe crear en GitHub porque no estaba en el tablero.</t>
  </si>
  <si>
    <t>Épica 6</t>
  </si>
  <si>
    <t>S9 y S10</t>
  </si>
  <si>
    <t>La cantidad de productos y la frecuencia de entradas varía.</t>
  </si>
  <si>
    <t>Firestore crece sin cambiar la estructura; listas paginadas y búsqueda por código o nombre.</t>
  </si>
  <si>
    <t>#32 #33</t>
  </si>
  <si>
    <t>Herramienta sencilla para el día a día.</t>
  </si>
  <si>
    <t>Pocas pantallas, escáner en lugar de escribir códigos y venta en pocos pasos.</t>
  </si>
  <si>
    <t>Prototipo</t>
  </si>
  <si>
    <t>Avance por sprints (semanal) - App de gestión de inventario</t>
  </si>
  <si>
    <t>Desde</t>
  </si>
  <si>
    <t>Hasta</t>
  </si>
  <si>
    <t>Objetivo del sprint</t>
  </si>
  <si>
    <t>Tareas (issues GitHub)</t>
  </si>
  <si>
    <t>Paso a paso del desarrollo</t>
  </si>
  <si>
    <t>Entregable para mostrar al profesor</t>
  </si>
  <si>
    <t>Estado</t>
  </si>
  <si>
    <t>Evidencia</t>
  </si>
  <si>
    <t>Sprint 1</t>
  </si>
  <si>
    <t>Levantamiento de requerimientos</t>
  </si>
  <si>
    <t>Entrevista al cliente
Épicas 0 a 5 y Tareas 01 a 18 en GitHub Projects</t>
  </si>
  <si>
    <t>1. Se analiza el caso: el dueño de la tienda de tecnología lleva el inventario en una hoja de cálculo y no sabe qué tiene disponible, qué se agota ni qué se vendió.
2. Entrevista al cliente sobre errores actuales, datos del producto, usuarios, dispositivos, reportes y volumen de productos.
3. Hallazgos: los registros manuales quedan mal, no hay alerta cuando se acaba el stock, se debe guardar serial, código de barras, proveedor, precio y fechas de entrada y salida, todos operan el sistema las 24 horas, el uso es híbrido y se necesitan reportes.
4. Se escriben las épicas y tareas en el tablero de GitHub Projects.</t>
  </si>
  <si>
    <t>Respuestas de la entrevista, hoja Requerimientos y tablero de GitHub.</t>
  </si>
  <si>
    <t>Terminado</t>
  </si>
  <si>
    <t>Tablero GitHub</t>
  </si>
  <si>
    <t>Sprint 2</t>
  </si>
  <si>
    <t>Diseño de la base de datos</t>
  </si>
  <si>
    <t>1. Se elige Cloud Firestore (Firebase): está en la nube, disponible las 24 horas y sincroniza varios dispositivos a la vez.
2. Se definen las colecciones: usuarios, proveedores, categorias, productos, unidades (una por serial), movimientos, ventas, alertas y cierresDiarios.
3. Cada requerimiento de la entrevista queda cubierto por un campo: serial, código de barras, proveedor, precio de compra y venta, fecha de entrada y fecha de salida (hoja Base de datos).</t>
  </si>
  <si>
    <t>Modelo de datos con colecciones, campos y relaciones.</t>
  </si>
  <si>
    <t>En progreso</t>
  </si>
  <si>
    <t>Sprint 3</t>
  </si>
  <si>
    <t>Implementación de la base de datos</t>
  </si>
  <si>
    <t>1. Se crea el proyecto en la consola de Firebase y se activan Authentication y Firestore.
2. Se crean las colecciones con datos de prueba: productos reales de la tienda con serial y código de barras, proveedores y usuarios.
3. Se crea el primer usuario administrador.
4. Se configuran los índices para el historial, las ventas y los reportes.</t>
  </si>
  <si>
    <t>Consola de Firebase con las colecciones y datos de prueba.</t>
  </si>
  <si>
    <t>Sprint 4</t>
  </si>
  <si>
    <t>Épica 0 - Login y logout</t>
  </si>
  <si>
    <t>Arquitectura y prototipo de pantallas
#53 Tarea 15 - Iniciar sesión
#54 Tarea 16 - Cerrar sesión</t>
  </si>
  <si>
    <t>1. Se conecta la app Android (Kotlin y Jetpack Compose) con Firebase y se maquetan las pantallas pensando en uso sencillo desde celular o tablet en el mostrador.
2. Pantalla de login con validación de correo y contraseña.
3. Inicio de sesión con Firebase Auth y verificación de que el usuario esté activo.
4. Cierre de sesión, importante porque varias personas usan el mismo dispositivo en distintos turnos.</t>
  </si>
  <si>
    <t>Demo en vivo: entrar con un usuario de prueba y cerrar sesión.</t>
  </si>
  <si>
    <t>Pendiente</t>
  </si>
  <si>
    <t>Sprint 5</t>
  </si>
  <si>
    <t>Épica 0 cierre e inicio de productos</t>
  </si>
  <si>
    <t>#55 Tarea 17 - Recuperar contraseña
#56 Tarea 18 - Activar o desactivar usuarios
#31 Tarea 01 - Registrar producto
Registrar proveedores
#32 Tarea 02 - Consultar productos</t>
  </si>
  <si>
    <t>1. Recuperación de contraseña por correo.
2. Pantalla de administración para activar o desactivar usuarios.
3. Formulario de producto con código de barras, nombre completo, proveedor, precios, stock mínimo y si maneja serial. Todos los campos obligatorios se validan para evitar los errores de la hoja de cálculo.
4. Registro de proveedores y lista de productos en tiempo real.</t>
  </si>
  <si>
    <t>Demo: administrar usuarios, crear un proveedor y registrar un producto. Cierre de la Épica 0.</t>
  </si>
  <si>
    <t>Sprint 6</t>
  </si>
  <si>
    <t>Épica 1 - Búsqueda y edición</t>
  </si>
  <si>
    <t>#33 Tarea 03 - Buscar producto
#34 Tarea 04 - Actualizar producto
#35 Tarea 05 - Eliminar producto
#37 Tarea 06 - Consultar stock actual</t>
  </si>
  <si>
    <t>1. Buscador por nombre y lectura del código de barras con la cámara, para no escribir códigos a mano.
2. Edición del producto y eliminación lógica (activo = false) para no perder el historial.
3. Vista de stock actual con color según el estado: disponible, bajo o agotado.</t>
  </si>
  <si>
    <t>Demo: escanear un código de barras, editar un producto y ver el stock. Cierre de la Épica 1.</t>
  </si>
  <si>
    <t>Sprint 7</t>
  </si>
  <si>
    <t>Épica 2 - Entradas y ventas</t>
  </si>
  <si>
    <t>#39 Tarea 07 - Registrar entrada
#40 Tarea 08 - Historial de movimientos
#42 Tarea 09 - Registrar venta</t>
  </si>
  <si>
    <t>1. Registro de entrada: se elige el proveedor, se escanean los seriales y el sistema guarda la fecha de entrada de cada unidad y suma el stock en una sola transacción.
2. Historial de movimientos por producto con fecha y usuario, para saber quién registró cada cambio.
3. Pantalla de venta: se escanea el producto o el serial y se calcula el total.</t>
  </si>
  <si>
    <t>Demo: registrar una entrada con seriales y ver el historial. Cierre de la Épica 2.</t>
  </si>
  <si>
    <t>Sprint 8</t>
  </si>
  <si>
    <t>Épica 3 cierre y Épica 4 - Alertas</t>
  </si>
  <si>
    <t>#43 Tarea 10 - Descontar productos vendidos
#44 Tarea 11 - Consultar productos vendidos
#46 Tarea 12 - Stock mínimo
#47 Tarea 13 - Bajo stock
#48 Tarea 14 - Alerta de agotado</t>
  </si>
  <si>
    <t>1. Al confirmar la venta se valida el stock, se descuenta el inventario, se marca cada serial como vendido con su fecha de salida y se registra el movimiento. Si algo falla no se guarda nada.
2. Consulta de productos vendidos por fechas.
3. Stock mínimo por producto y recálculo automático del estado del stock.
4. Alerta visible al abrir la app con los productos en bajo stock o agotados, que resuelve el problema de quedarse sin mercancía sin aviso.</t>
  </si>
  <si>
    <t>Demo: vender hasta bajar del mínimo y ver la alerta. Cierre de las Épicas 3 y 4.</t>
  </si>
  <si>
    <t>Sprint 9</t>
  </si>
  <si>
    <t>Épica 5 - Seguridad e inicio de reportes</t>
  </si>
  <si>
    <t>#57 Tarea 15 - Iniciar sesión
#58 Tarea 16 - Cerrar sesión
#59 Iniciar sesión
Reglas de seguridad de Firestore
Cierre diario de ventas</t>
  </si>
  <si>
    <t>1. Revisión del acceso: sesión persistente y cierre de sesión en todas las pantallas.
2. Publicación de las reglas de Firestore: todos los usuarios activos operan el sistema y solo el administrador gestiona usuarios y anula ventas.
3. Reporte de cierre diario: total vendido, número de ventas y unidades del día.</t>
  </si>
  <si>
    <t>Reglas publicadas y demo del cierre diario. Cierre de la Épica 5.</t>
  </si>
  <si>
    <t>Sprint 10</t>
  </si>
  <si>
    <t>Reportes, pruebas y documentación</t>
  </si>
  <si>
    <t>Valoración total del inventario
Productos más vendidos
Pruebas funcionales
Corrección de errores
Documentación y manual de usuario</t>
  </si>
  <si>
    <t>1. Reporte de valoración del inventario (stock por precio de compra) y ranking de productos más vendidos.
2. Pruebas funcionales de cada módulo con los casos de la entrevista.
3. Corrección de errores.
4. Documentación técnica y manual de usuario con capturas.</t>
  </si>
  <si>
    <t>Demo de los tres reportes, resultados de pruebas y documentación. Cierre de la Épica 6.</t>
  </si>
  <si>
    <t>Sprint 11</t>
  </si>
  <si>
    <t>Entrega final</t>
  </si>
  <si>
    <t>Revisión final con el equipo
Presentación y entrega al docente</t>
  </si>
  <si>
    <t>1. Revisión final comparando la app con cada requerimiento de la hoja Requerimientos.
2. Entrega del APK, el repositorio y la documentación.
3. Presentación final al profesor.</t>
  </si>
  <si>
    <t>Presentación final con la app funcionando (martes 17 de noviembre).</t>
  </si>
  <si>
    <t>Avance general (sprints terminados)</t>
  </si>
  <si>
    <t>usuarios/{uid}  —  El id del documento es el uid de Firebase Authentication  (#53 #54 #55 #56)</t>
  </si>
  <si>
    <t>Colección</t>
  </si>
  <si>
    <t>Campo</t>
  </si>
  <si>
    <t>Tipo</t>
  </si>
  <si>
    <t>Obligatorio</t>
  </si>
  <si>
    <t>Descripción</t>
  </si>
  <si>
    <t>Ejemplo</t>
  </si>
  <si>
    <t>Tarea relacionada</t>
  </si>
  <si>
    <t>usuarios</t>
  </si>
  <si>
    <t>uid</t>
  </si>
  <si>
    <t>string</t>
  </si>
  <si>
    <t>Sí</t>
  </si>
  <si>
    <t>Id del usuario en Firebase Auth</t>
  </si>
  <si>
    <t>Xk29aP...</t>
  </si>
  <si>
    <t>nombre</t>
  </si>
  <si>
    <t>Nombre completo</t>
  </si>
  <si>
    <t>Laura Gómez</t>
  </si>
  <si>
    <t>correo</t>
  </si>
  <si>
    <t>Correo con el que inicia sesión</t>
  </si>
  <si>
    <t>laura@tienda.com</t>
  </si>
  <si>
    <t>rol</t>
  </si>
  <si>
    <t>admin u operador. Todos operan el sistema; el admin además gestiona usuarios</t>
  </si>
  <si>
    <t>operador</t>
  </si>
  <si>
    <t>activo</t>
  </si>
  <si>
    <t>boolean</t>
  </si>
  <si>
    <t>Si es false no puede entrar al sistema</t>
  </si>
  <si>
    <t>true</t>
  </si>
  <si>
    <t>fechaCreacion</t>
  </si>
  <si>
    <t>timestamp</t>
  </si>
  <si>
    <t>Fecha de registro</t>
  </si>
  <si>
    <t>07/09/2026 10:15</t>
  </si>
  <si>
    <t>ultimoAcceso</t>
  </si>
  <si>
    <t>No</t>
  </si>
  <si>
    <t>Último inicio de sesión</t>
  </si>
  <si>
    <t>21/09/2026 08:02</t>
  </si>
  <si>
    <t>proveedores/{id}  —  Proveedores de la mercancía (requerimiento de la entrevista)  (#31 #39)</t>
  </si>
  <si>
    <t>proveedores</t>
  </si>
  <si>
    <t>Razón social o nombre del proveedor</t>
  </si>
  <si>
    <t>Distribuidora TecnoAndina S.A.S.</t>
  </si>
  <si>
    <t>nit</t>
  </si>
  <si>
    <t>NIT o documento</t>
  </si>
  <si>
    <t>901234567-8</t>
  </si>
  <si>
    <t>telefono</t>
  </si>
  <si>
    <t>Teléfono de contacto</t>
  </si>
  <si>
    <t>604 444 1234</t>
  </si>
  <si>
    <t>Correo de contacto</t>
  </si>
  <si>
    <t>ventas@tecnoandina.com</t>
  </si>
  <si>
    <t>Si se muestra en los formularios</t>
  </si>
  <si>
    <t>categorias/{id}  —  Agrupa los productos de la tienda  (#31 #33)</t>
  </si>
  <si>
    <t>categorias</t>
  </si>
  <si>
    <t>Nombre de la categoría</t>
  </si>
  <si>
    <t>Celulares</t>
  </si>
  <si>
    <t>activa</t>
  </si>
  <si>
    <t>productos/{id}  —  Catálogo e inventario de la tienda  (#31 a #37, #46 a #48)</t>
  </si>
  <si>
    <t>productos</t>
  </si>
  <si>
    <t>codigoBarras</t>
  </si>
  <si>
    <t>Código de barras del producto, único. Se lee con la cámara</t>
  </si>
  <si>
    <t>7701234567890</t>
  </si>
  <si>
    <t>#31 #33</t>
  </si>
  <si>
    <t>Nombre completo del producto</t>
  </si>
  <si>
    <t>Samsung Galaxy A15 128 GB Negro</t>
  </si>
  <si>
    <t>nombreBusqueda</t>
  </si>
  <si>
    <t>Nombre en minúsculas y sin tildes para el buscador</t>
  </si>
  <si>
    <t>samsung galaxy a15 128 gb negro</t>
  </si>
  <si>
    <t>categoriaId</t>
  </si>
  <si>
    <t>Id del documento en categorias</t>
  </si>
  <si>
    <t>cat_celulares</t>
  </si>
  <si>
    <t>marca</t>
  </si>
  <si>
    <t>Marca</t>
  </si>
  <si>
    <t>Samsung</t>
  </si>
  <si>
    <t>proveedorId</t>
  </si>
  <si>
    <t>Proveedor principal (id en proveedores)</t>
  </si>
  <si>
    <t>prov_tecnoandina</t>
  </si>
  <si>
    <t>serializado</t>
  </si>
  <si>
    <t>true si cada unidad tiene número de serie o IMEI</t>
  </si>
  <si>
    <t>precioCompra</t>
  </si>
  <si>
    <t>number</t>
  </si>
  <si>
    <t>Costo unitario (COP)</t>
  </si>
  <si>
    <t>650000</t>
  </si>
  <si>
    <t>precioVenta</t>
  </si>
  <si>
    <t>Precio de venta (COP)</t>
  </si>
  <si>
    <t>799000</t>
  </si>
  <si>
    <t>stockActual</t>
  </si>
  <si>
    <t>Unidades disponibles. Nunca puede quedar negativo</t>
  </si>
  <si>
    <t>12</t>
  </si>
  <si>
    <t>stockMinimo</t>
  </si>
  <si>
    <t>Cantidad a partir de la cual se alerta</t>
  </si>
  <si>
    <t>3</t>
  </si>
  <si>
    <t>estadoStock</t>
  </si>
  <si>
    <t>OK, BAJO o AGOTADO. Se recalcula en cada movimiento</t>
  </si>
  <si>
    <t>OK</t>
  </si>
  <si>
    <t>#47 #48</t>
  </si>
  <si>
    <t>false = producto eliminado (eliminación lógica)</t>
  </si>
  <si>
    <t>05/10/2026</t>
  </si>
  <si>
    <t>fechaActualizacion</t>
  </si>
  <si>
    <t>Última modificación</t>
  </si>
  <si>
    <t>13/10/2026</t>
  </si>
  <si>
    <t>creadoPor</t>
  </si>
  <si>
    <t>uid del usuario que lo registró</t>
  </si>
  <si>
    <t>unidades/{id}  —  Una unidad física por serial, con su fecha de entrada y de salida  (#39 #42 #43)</t>
  </si>
  <si>
    <t>unidades</t>
  </si>
  <si>
    <t>serial</t>
  </si>
  <si>
    <t>Número de serie o IMEI, único</t>
  </si>
  <si>
    <t>R58W12ABC34</t>
  </si>
  <si>
    <t>productoId</t>
  </si>
  <si>
    <t>Id del producto</t>
  </si>
  <si>
    <t>prod_001</t>
  </si>
  <si>
    <t>Proveedor de esta unidad</t>
  </si>
  <si>
    <t>Costo de esta unidad (COP)</t>
  </si>
  <si>
    <t>estado</t>
  </si>
  <si>
    <t>DISPONIBLE o VENDIDO</t>
  </si>
  <si>
    <t>DISPONIBLE</t>
  </si>
  <si>
    <t>fechaEntrada</t>
  </si>
  <si>
    <t>Fecha en que ingresó a la tienda</t>
  </si>
  <si>
    <t>19/10/2026 15:30</t>
  </si>
  <si>
    <t>fechaSalida</t>
  </si>
  <si>
    <t>Fecha en que se vendió</t>
  </si>
  <si>
    <t>27/10/2026 11:20</t>
  </si>
  <si>
    <t>movimientoEntradaId</t>
  </si>
  <si>
    <t>Movimiento con el que entró</t>
  </si>
  <si>
    <t>mov_0120</t>
  </si>
  <si>
    <t>ventaId</t>
  </si>
  <si>
    <t>Venta con la que salió</t>
  </si>
  <si>
    <t>venta_0045</t>
  </si>
  <si>
    <t>movimientos/{id}  —  Historial de todo lo que entra y sale del inventario  (#39 #40 #43)</t>
  </si>
  <si>
    <t>movimientos</t>
  </si>
  <si>
    <t>productoNombre</t>
  </si>
  <si>
    <t>Copia del nombre para mostrar el historial sin otra consulta</t>
  </si>
  <si>
    <t>Samsung Galaxy A15</t>
  </si>
  <si>
    <t>tipo</t>
  </si>
  <si>
    <t>ENTRADA, SALIDA o AJUSTE</t>
  </si>
  <si>
    <t>ENTRADA</t>
  </si>
  <si>
    <t>cantidad</t>
  </si>
  <si>
    <t>Unidades del movimiento</t>
  </si>
  <si>
    <t>10</t>
  </si>
  <si>
    <t>seriales</t>
  </si>
  <si>
    <t>array de string</t>
  </si>
  <si>
    <t>Seriales incluidos en el movimiento</t>
  </si>
  <si>
    <t>[R58W12ABC34, R58W12ABC35]</t>
  </si>
  <si>
    <t>Proveedor, en las entradas</t>
  </si>
  <si>
    <t>precioUnitario</t>
  </si>
  <si>
    <t>Precio de compra (entrada) o de venta (salida)</t>
  </si>
  <si>
    <t>stockAnterior</t>
  </si>
  <si>
    <t>Stock antes del movimiento</t>
  </si>
  <si>
    <t>2</t>
  </si>
  <si>
    <t>stockNuevo</t>
  </si>
  <si>
    <t>Stock después del movimiento</t>
  </si>
  <si>
    <t>Id de la venta si es una SALIDA por venta</t>
  </si>
  <si>
    <t>usuarioId</t>
  </si>
  <si>
    <t>uid de quien hizo el movimiento</t>
  </si>
  <si>
    <t>fecha</t>
  </si>
  <si>
    <t>Fecha y hora</t>
  </si>
  <si>
    <t>ventas/{id}  —  Ventas realizadas  (#42 #43 #44)</t>
  </si>
  <si>
    <t>ventas</t>
  </si>
  <si>
    <t>numero</t>
  </si>
  <si>
    <t>Consecutivo de la venta</t>
  </si>
  <si>
    <t>45</t>
  </si>
  <si>
    <t>Fecha y hora de la venta</t>
  </si>
  <si>
    <t>uid del vendedor</t>
  </si>
  <si>
    <t>vendedorNombre</t>
  </si>
  <si>
    <t>Nombre del vendedor</t>
  </si>
  <si>
    <t>cliente</t>
  </si>
  <si>
    <t>Nombre o cédula del cliente</t>
  </si>
  <si>
    <t>Carlos Ruiz</t>
  </si>
  <si>
    <t>items</t>
  </si>
  <si>
    <t>array de maps</t>
  </si>
  <si>
    <t>productoId, nombre, cantidad, seriales, precioUnitario, subtotal</t>
  </si>
  <si>
    <t>[{prod_001, Galaxy A15, 1, [R58W12ABC34], 799000, 799000}]</t>
  </si>
  <si>
    <t>total</t>
  </si>
  <si>
    <t>Suma de los subtotales (COP)</t>
  </si>
  <si>
    <t>COMPLETADA o ANULADA</t>
  </si>
  <si>
    <t>COMPLETADA</t>
  </si>
  <si>
    <t>alertas/{id}  —  Avisos de bajo stock y productos agotados  (#47 #48)</t>
  </si>
  <si>
    <t>alertas</t>
  </si>
  <si>
    <t>Nombre del producto</t>
  </si>
  <si>
    <t>BAJO_STOCK o AGOTADO</t>
  </si>
  <si>
    <t>AGOTADO</t>
  </si>
  <si>
    <t>Stock cuando se generó la alerta</t>
  </si>
  <si>
    <t>0</t>
  </si>
  <si>
    <t>Stock mínimo configurado</t>
  </si>
  <si>
    <t>Cuándo se generó</t>
  </si>
  <si>
    <t>05/11/2026</t>
  </si>
  <si>
    <t>atendida</t>
  </si>
  <si>
    <t>true cuando se repone el producto</t>
  </si>
  <si>
    <t>false</t>
  </si>
  <si>
    <t>cierresDiarios/{aaaa-mm-dd}  —  Reporte de cierre diario de ventas. El id es la fecha  (Épica 6)</t>
  </si>
  <si>
    <t>cierresDiarios</t>
  </si>
  <si>
    <t>Día del cierre</t>
  </si>
  <si>
    <t>06/11/2026</t>
  </si>
  <si>
    <t>totalVentas</t>
  </si>
  <si>
    <t>Total vendido en el día (COP)</t>
  </si>
  <si>
    <t>4850000</t>
  </si>
  <si>
    <t>numeroVentas</t>
  </si>
  <si>
    <t>Cantidad de ventas del día</t>
  </si>
  <si>
    <t>9</t>
  </si>
  <si>
    <t>unidadesVendidas</t>
  </si>
  <si>
    <t>Unidades vendidas en el día</t>
  </si>
  <si>
    <t>14</t>
  </si>
  <si>
    <t>valorInventario</t>
  </si>
  <si>
    <t>Valoración del inventario al cierre (stock por precio de compra)</t>
  </si>
  <si>
    <t>86300000</t>
  </si>
  <si>
    <t>generadoPor</t>
  </si>
  <si>
    <t>uid de quien hizo el cierre</t>
  </si>
  <si>
    <t>generadoEn</t>
  </si>
  <si>
    <t>Fecha y hora del cierre</t>
  </si>
  <si>
    <t>06/11/2026 21:05</t>
  </si>
  <si>
    <t>Relaciones y reglas de funcionamiento</t>
  </si>
  <si>
    <t>Relaciones: productos → categorias y proveedores. unidades → productos y proveedores. movimientos, alertas y ventas.items → productos. usuarioId y creadoPor → usuarios.</t>
  </si>
  <si>
    <t>Registrar entrada (#39): en una transacción se crean las unidades con su serial y fecha de entrada, se suma stockActual, se recalcula estadoStock y se crea el movimiento ENTRADA.</t>
  </si>
  <si>
    <t>Registrar venta (#42 y #43): en una sola transacción se valida el stock, se crea la venta, se resta el stock, cada serial pasa a VENDIDO con su fecha de salida y se crea el movimiento SALIDA. Si falta stock o un serial ya fue vendido, no se guarda nada.</t>
  </si>
  <si>
    <t>Menos errores de registro: código de barras y serial únicos, lectura con cámara, campos obligatorios validados y ningún stock negativo.</t>
  </si>
  <si>
    <t>Alertas (#47 y #48): Firestore no compara dos campos en una consulta, por eso se guarda estadoStock y se consulta where estadoStock != "OK". La alerta se muestra al abrir la app.</t>
  </si>
  <si>
    <t>Reportes: el cierre diario se guarda en cierresDiarios. Los productos más vendidos se calculan con las ventas de un rango de fechas.</t>
  </si>
  <si>
    <t>Índices compuestos: movimientos (productoId, fecha desc), unidades (productoId, estado), ventas (fecha desc), productos (activo, nombreBusqueda).</t>
  </si>
  <si>
    <t>Seguridad: reglas en el archivo firestore.rules. El primer administrador se crea a mano en la consola de Firebase (rol admin y activo true).</t>
  </si>
  <si>
    <t>Festivos Colombia (no se trabajan)</t>
  </si>
  <si>
    <t>Base de datos -  (Firebase)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</si>
</sst>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9"/>
      <color rgb="FF595959"/>
      <name val="Arial"/>
      <charset val="1"/>
    </font>
    <font>
      <b/>
      <sz val="8"/>
      <color rgb="FFC00000"/>
      <name val="Arial"/>
      <charset val="1"/>
    </font>
    <font>
      <b/>
      <sz val="8"/>
      <color rgb="FF1F4E78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sz val="7"/>
      <color rgb="FFFFFFFF"/>
      <name val="Arial"/>
      <charset val="1"/>
    </font>
    <font>
      <b/>
      <sz val="11"/>
      <color rgb="FF1F4E78"/>
      <name val="Arial"/>
      <charset val="1"/>
    </font>
    <font>
      <sz val="9"/>
      <name val="Arial"/>
      <charset val="1"/>
    </font>
    <font>
      <sz val="10"/>
      <name val="Arial"/>
      <charset val="1"/>
    </font>
    <font>
      <sz val="11"/>
      <color rgb="FF0000FF"/>
      <name val="Arial"/>
      <charset val="1"/>
    </font>
    <font>
      <sz val="9"/>
      <color rgb="FFC00000"/>
      <name val="Arial"/>
      <charset val="1"/>
    </font>
    <font>
      <b/>
      <sz val="10"/>
      <name val="Arial"/>
      <charset val="1"/>
    </font>
    <font>
      <b/>
      <sz val="9"/>
      <color rgb="FFC00000"/>
      <name val="Arial"/>
      <charset val="1"/>
    </font>
    <font>
      <b/>
      <sz val="9"/>
      <color rgb="FF1F4E78"/>
      <name val="Arial"/>
      <charset val="1"/>
    </font>
    <font>
      <sz val="8"/>
      <name val="Arial"/>
      <charset val="1"/>
    </font>
    <font>
      <b/>
      <sz val="9"/>
      <name val="Arial"/>
      <charset val="1"/>
    </font>
    <font>
      <b/>
      <sz val="10"/>
      <color rgb="FFC00000"/>
      <name val="Arial"/>
      <charset val="1"/>
    </font>
    <font>
      <b/>
      <sz val="9"/>
      <color rgb="FF0000FF"/>
      <name val="Arial"/>
      <charset val="1"/>
    </font>
    <font>
      <u/>
      <sz val="9"/>
      <color rgb="FF0563C1"/>
      <name val="Arial"/>
      <charset val="1"/>
    </font>
    <font>
      <b/>
      <sz val="12"/>
      <color rgb="FFC00000"/>
      <name val="Arial"/>
      <charset val="1"/>
    </font>
    <font>
      <b/>
      <sz val="9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33CCFF"/>
        <bgColor rgb="FF00B0A0"/>
      </patternFill>
    </fill>
    <fill>
      <patternFill patternType="solid">
        <fgColor rgb="FFDDEBF7"/>
        <b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2" fillId="0" borderId="0" xfId="0" applyFont="1" applyBorder="1" applyAlignment="1">
      <alignment vertical="top" wrapText="1"/>
    </xf>
    <xf numFmtId="0" fontId="11" fillId="4" borderId="1" xfId="0" applyFont="1" applyFill="1" applyBorder="1"/>
    <xf numFmtId="0" fontId="1" fillId="2" borderId="0" xfId="0" applyFont="1" applyFill="1" applyBorder="1"/>
    <xf numFmtId="0" fontId="8" fillId="2" borderId="1" xfId="0" applyFont="1" applyFill="1" applyBorder="1" applyAlignment="1">
      <alignment horizontal="center" vertical="center"/>
    </xf>
    <xf numFmtId="164" fontId="4" fillId="3" borderId="0" xfId="0" applyNumberFormat="1" applyFont="1" applyFill="1" applyBorder="1"/>
    <xf numFmtId="0" fontId="1" fillId="2" borderId="0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9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12" fillId="4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3" fillId="0" borderId="1" xfId="0" applyFont="1" applyBorder="1"/>
    <xf numFmtId="0" fontId="5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/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0" fillId="0" borderId="1" xfId="0" applyBorder="1"/>
    <xf numFmtId="0" fontId="19" fillId="0" borderId="1" xfId="0" applyFont="1" applyBorder="1" applyAlignment="1">
      <alignment horizontal="center"/>
    </xf>
    <xf numFmtId="0" fontId="3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5" borderId="1" xfId="0" applyFont="1" applyFill="1" applyBorder="1" applyAlignment="1">
      <alignment horizontal="center" vertical="top"/>
    </xf>
    <xf numFmtId="0" fontId="20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center"/>
    </xf>
    <xf numFmtId="0" fontId="11" fillId="0" borderId="0" xfId="0" applyFont="1"/>
    <xf numFmtId="164" fontId="14" fillId="0" borderId="0" xfId="0" applyNumberFormat="1" applyFont="1"/>
    <xf numFmtId="0" fontId="23" fillId="0" borderId="1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0" fontId="20" fillId="0" borderId="1" xfId="0" applyFont="1" applyBorder="1" applyAlignment="1">
      <alignment horizontal="left" vertical="top" wrapText="1"/>
    </xf>
    <xf numFmtId="0" fontId="20" fillId="5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262626"/>
        </patternFill>
      </fill>
    </dxf>
    <dxf>
      <fill>
        <patternFill>
          <bgColor rgb="FFCC66FF"/>
        </patternFill>
      </fill>
    </dxf>
    <dxf>
      <fill>
        <patternFill>
          <bgColor rgb="FF92D050"/>
        </patternFill>
      </fill>
    </dxf>
    <dxf>
      <fill>
        <patternFill>
          <bgColor rgb="FF262626"/>
        </patternFill>
      </fill>
    </dxf>
    <dxf>
      <fill>
        <patternFill>
          <bgColor rgb="FF548235"/>
        </patternFill>
      </fill>
    </dxf>
    <dxf>
      <fill>
        <patternFill>
          <bgColor rgb="FF262626"/>
        </patternFill>
      </fill>
    </dxf>
    <dxf>
      <fill>
        <patternFill>
          <bgColor rgb="FFA5A5A5"/>
        </patternFill>
      </fill>
    </dxf>
    <dxf>
      <fill>
        <patternFill>
          <bgColor rgb="FF262626"/>
        </patternFill>
      </fill>
    </dxf>
    <dxf>
      <fill>
        <patternFill>
          <bgColor rgb="FFFF66CC"/>
        </patternFill>
      </fill>
    </dxf>
    <dxf>
      <fill>
        <patternFill>
          <bgColor rgb="FF262626"/>
        </patternFill>
      </fill>
    </dxf>
    <dxf>
      <fill>
        <patternFill>
          <bgColor rgb="FFC00000"/>
        </patternFill>
      </fill>
    </dxf>
    <dxf>
      <fill>
        <patternFill>
          <bgColor rgb="FF262626"/>
        </patternFill>
      </fill>
    </dxf>
    <dxf>
      <fill>
        <patternFill>
          <bgColor rgb="FFC9A227"/>
        </patternFill>
      </fill>
    </dxf>
    <dxf>
      <fill>
        <patternFill>
          <bgColor rgb="FF262626"/>
        </patternFill>
      </fill>
    </dxf>
    <dxf>
      <fill>
        <patternFill>
          <bgColor rgb="FF00B0A0"/>
        </patternFill>
      </fill>
    </dxf>
    <dxf>
      <fill>
        <patternFill>
          <bgColor rgb="FF262626"/>
        </patternFill>
      </fill>
    </dxf>
    <dxf>
      <fill>
        <patternFill>
          <bgColor rgb="FF7030A0"/>
        </patternFill>
      </fill>
    </dxf>
    <dxf>
      <fill>
        <patternFill>
          <bgColor rgb="FF262626"/>
        </patternFill>
      </fill>
    </dxf>
    <dxf>
      <fill>
        <patternFill>
          <bgColor rgb="FFED7D31"/>
        </patternFill>
      </fill>
    </dxf>
    <dxf>
      <fill>
        <patternFill>
          <bgColor rgb="FF262626"/>
        </patternFill>
      </fill>
    </dxf>
    <dxf>
      <fill>
        <patternFill>
          <bgColor rgb="FF4472C4"/>
        </patternFill>
      </fill>
    </dxf>
    <dxf>
      <fill>
        <patternFill>
          <bgColor rgb="FF262626"/>
        </patternFill>
      </fill>
    </dxf>
    <dxf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7030A0"/>
      <rgbColor rgb="FFF2F2F2"/>
      <rgbColor rgb="FFDDEBF7"/>
      <rgbColor rgb="FF660066"/>
      <rgbColor rgb="FFFF66CC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CCFFFF"/>
      <rgbColor rgb="FFC6EFCE"/>
      <rgbColor rgb="FFFFEB9C"/>
      <rgbColor rgb="FF99CCFF"/>
      <rgbColor rgb="FFFF99CC"/>
      <rgbColor rgb="FFCC66FF"/>
      <rgbColor rgb="FFFFCC99"/>
      <rgbColor rgb="FF4472C4"/>
      <rgbColor rgb="FF33CCFF"/>
      <rgbColor rgb="FF92D050"/>
      <rgbColor rgb="FFFFCC00"/>
      <rgbColor rgb="FFC9A227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users/PulidoMiguelacademy/projects/4" TargetMode="External"/><Relationship Id="rId3" Type="http://schemas.openxmlformats.org/officeDocument/2006/relationships/hyperlink" Target="https://github.com/users/PulidoMiguelacademy/projects/4" TargetMode="External"/><Relationship Id="rId7" Type="http://schemas.openxmlformats.org/officeDocument/2006/relationships/hyperlink" Target="https://github.com/users/PulidoMiguelacademy/projects/4" TargetMode="External"/><Relationship Id="rId2" Type="http://schemas.openxmlformats.org/officeDocument/2006/relationships/hyperlink" Target="https://github.com/users/PulidoMiguelacademy/projects/4" TargetMode="External"/><Relationship Id="rId1" Type="http://schemas.openxmlformats.org/officeDocument/2006/relationships/hyperlink" Target="https://github.com/users/PulidoMiguelacademy/projects/4" TargetMode="External"/><Relationship Id="rId6" Type="http://schemas.openxmlformats.org/officeDocument/2006/relationships/hyperlink" Target="https://github.com/users/PulidoMiguelacademy/projects/4" TargetMode="External"/><Relationship Id="rId11" Type="http://schemas.openxmlformats.org/officeDocument/2006/relationships/hyperlink" Target="https://github.com/users/PulidoMiguelacademy/projects/4" TargetMode="External"/><Relationship Id="rId5" Type="http://schemas.openxmlformats.org/officeDocument/2006/relationships/hyperlink" Target="https://github.com/users/PulidoMiguelacademy/projects/4" TargetMode="External"/><Relationship Id="rId10" Type="http://schemas.openxmlformats.org/officeDocument/2006/relationships/hyperlink" Target="https://github.com/users/PulidoMiguelacademy/projects/4" TargetMode="External"/><Relationship Id="rId4" Type="http://schemas.openxmlformats.org/officeDocument/2006/relationships/hyperlink" Target="https://github.com/users/PulidoMiguelacademy/projects/4" TargetMode="External"/><Relationship Id="rId9" Type="http://schemas.openxmlformats.org/officeDocument/2006/relationships/hyperlink" Target="https://github.com/users/PulidoMiguelacademy/projects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68"/>
  <sheetViews>
    <sheetView showGridLines="0" tabSelected="1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W23" sqref="W23"/>
    </sheetView>
  </sheetViews>
  <sheetFormatPr baseColWidth="10" defaultColWidth="8.7109375" defaultRowHeight="15" x14ac:dyDescent="0.25"/>
  <cols>
    <col min="1" max="1" width="52" customWidth="1"/>
    <col min="2" max="2" width="7" customWidth="1"/>
    <col min="3" max="3" width="6" customWidth="1"/>
    <col min="4" max="5" width="11" customWidth="1"/>
    <col min="6" max="6" width="7" customWidth="1"/>
    <col min="7" max="55" width="3.140625" customWidth="1"/>
  </cols>
  <sheetData>
    <row r="1" spans="1:55" ht="25.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x14ac:dyDescent="0.25">
      <c r="A2" s="7"/>
    </row>
    <row r="3" spans="1:55" x14ac:dyDescent="0.25">
      <c r="A3" s="8" t="s">
        <v>1</v>
      </c>
      <c r="B3" s="5">
        <v>46272</v>
      </c>
      <c r="C3" s="5"/>
      <c r="D3" s="9"/>
    </row>
    <row r="4" spans="1:55" x14ac:dyDescent="0.25">
      <c r="G4" s="10" t="str">
        <f>"S"&amp;INT((G6-($B$3-WEEKDAY($B$3)+1))/7)+1</f>
        <v>S1</v>
      </c>
      <c r="H4" s="10" t="str">
        <f>IF(INT((H6-($B$3-WEEKDAY($B$3)+1))/7)+1&lt;&gt;INT((G6-($B$3-WEEKDAY($B$3)+1))/7)+1,"S"&amp;INT((H6-($B$3-WEEKDAY($B$3)+1))/7)+1,"")</f>
        <v/>
      </c>
      <c r="I4" s="10" t="str">
        <f>IF(INT((I6-($B$3-WEEKDAY($B$3)+1))/7)+1&lt;&gt;INT((H6-($B$3-WEEKDAY($B$3)+1))/7)+1,"S"&amp;INT((I6-($B$3-WEEKDAY($B$3)+1))/7)+1,"")</f>
        <v/>
      </c>
      <c r="J4" s="10" t="str">
        <f>IF(INT((J6-($B$3-WEEKDAY($B$3)+1))/7)+1&lt;&gt;INT((I6-($B$3-WEEKDAY($B$3)+1))/7)+1,"S"&amp;INT((J6-($B$3-WEEKDAY($B$3)+1))/7)+1,"")</f>
        <v/>
      </c>
      <c r="K4" s="10" t="str">
        <f>IF(INT((K6-($B$3-WEEKDAY($B$3)+1))/7)+1&lt;&gt;INT((J6-($B$3-WEEKDAY($B$3)+1))/7)+1,"S"&amp;INT((K6-($B$3-WEEKDAY($B$3)+1))/7)+1,"")</f>
        <v/>
      </c>
      <c r="L4" s="10" t="str">
        <f>IF(INT((L6-($B$3-WEEKDAY($B$3)+1))/7)+1&lt;&gt;INT((K6-($B$3-WEEKDAY($B$3)+1))/7)+1,"S"&amp;INT((L6-($B$3-WEEKDAY($B$3)+1))/7)+1,"")</f>
        <v>S2</v>
      </c>
      <c r="M4" s="10" t="str">
        <f>IF(INT((M6-($B$3-WEEKDAY($B$3)+1))/7)+1&lt;&gt;INT((L6-($B$3-WEEKDAY($B$3)+1))/7)+1,"S"&amp;INT((M6-($B$3-WEEKDAY($B$3)+1))/7)+1,"")</f>
        <v/>
      </c>
      <c r="N4" s="10" t="str">
        <f>IF(INT((N6-($B$3-WEEKDAY($B$3)+1))/7)+1&lt;&gt;INT((M6-($B$3-WEEKDAY($B$3)+1))/7)+1,"S"&amp;INT((N6-($B$3-WEEKDAY($B$3)+1))/7)+1,"")</f>
        <v/>
      </c>
      <c r="O4" s="10" t="str">
        <f>IF(INT((O6-($B$3-WEEKDAY($B$3)+1))/7)+1&lt;&gt;INT((N6-($B$3-WEEKDAY($B$3)+1))/7)+1,"S"&amp;INT((O6-($B$3-WEEKDAY($B$3)+1))/7)+1,"")</f>
        <v/>
      </c>
      <c r="P4" s="10" t="str">
        <f>IF(INT((P6-($B$3-WEEKDAY($B$3)+1))/7)+1&lt;&gt;INT((O6-($B$3-WEEKDAY($B$3)+1))/7)+1,"S"&amp;INT((P6-($B$3-WEEKDAY($B$3)+1))/7)+1,"")</f>
        <v/>
      </c>
      <c r="Q4" s="10" t="str">
        <f>IF(INT((Q6-($B$3-WEEKDAY($B$3)+1))/7)+1&lt;&gt;INT((P6-($B$3-WEEKDAY($B$3)+1))/7)+1,"S"&amp;INT((Q6-($B$3-WEEKDAY($B$3)+1))/7)+1,"")</f>
        <v>S3</v>
      </c>
      <c r="R4" s="10" t="str">
        <f>IF(INT((R6-($B$3-WEEKDAY($B$3)+1))/7)+1&lt;&gt;INT((Q6-($B$3-WEEKDAY($B$3)+1))/7)+1,"S"&amp;INT((R6-($B$3-WEEKDAY($B$3)+1))/7)+1,"")</f>
        <v/>
      </c>
      <c r="S4" s="10" t="str">
        <f>IF(INT((S6-($B$3-WEEKDAY($B$3)+1))/7)+1&lt;&gt;INT((R6-($B$3-WEEKDAY($B$3)+1))/7)+1,"S"&amp;INT((S6-($B$3-WEEKDAY($B$3)+1))/7)+1,"")</f>
        <v/>
      </c>
      <c r="T4" s="10" t="str">
        <f>IF(INT((T6-($B$3-WEEKDAY($B$3)+1))/7)+1&lt;&gt;INT((S6-($B$3-WEEKDAY($B$3)+1))/7)+1,"S"&amp;INT((T6-($B$3-WEEKDAY($B$3)+1))/7)+1,"")</f>
        <v/>
      </c>
      <c r="U4" s="10" t="str">
        <f>IF(INT((U6-($B$3-WEEKDAY($B$3)+1))/7)+1&lt;&gt;INT((T6-($B$3-WEEKDAY($B$3)+1))/7)+1,"S"&amp;INT((U6-($B$3-WEEKDAY($B$3)+1))/7)+1,"")</f>
        <v/>
      </c>
      <c r="V4" s="10" t="str">
        <f>IF(INT((V6-($B$3-WEEKDAY($B$3)+1))/7)+1&lt;&gt;INT((U6-($B$3-WEEKDAY($B$3)+1))/7)+1,"S"&amp;INT((V6-($B$3-WEEKDAY($B$3)+1))/7)+1,"")</f>
        <v>S4</v>
      </c>
      <c r="W4" s="10" t="str">
        <f>IF(INT((W6-($B$3-WEEKDAY($B$3)+1))/7)+1&lt;&gt;INT((V6-($B$3-WEEKDAY($B$3)+1))/7)+1,"S"&amp;INT((W6-($B$3-WEEKDAY($B$3)+1))/7)+1,"")</f>
        <v/>
      </c>
      <c r="X4" s="10" t="str">
        <f>IF(INT((X6-($B$3-WEEKDAY($B$3)+1))/7)+1&lt;&gt;INT((W6-($B$3-WEEKDAY($B$3)+1))/7)+1,"S"&amp;INT((X6-($B$3-WEEKDAY($B$3)+1))/7)+1,"")</f>
        <v/>
      </c>
      <c r="Y4" s="10" t="str">
        <f>IF(INT((Y6-($B$3-WEEKDAY($B$3)+1))/7)+1&lt;&gt;INT((X6-($B$3-WEEKDAY($B$3)+1))/7)+1,"S"&amp;INT((Y6-($B$3-WEEKDAY($B$3)+1))/7)+1,"")</f>
        <v/>
      </c>
      <c r="Z4" s="10" t="str">
        <f>IF(INT((Z6-($B$3-WEEKDAY($B$3)+1))/7)+1&lt;&gt;INT((Y6-($B$3-WEEKDAY($B$3)+1))/7)+1,"S"&amp;INT((Z6-($B$3-WEEKDAY($B$3)+1))/7)+1,"")</f>
        <v/>
      </c>
      <c r="AA4" s="10" t="str">
        <f>IF(INT((AA6-($B$3-WEEKDAY($B$3)+1))/7)+1&lt;&gt;INT((Z6-($B$3-WEEKDAY($B$3)+1))/7)+1,"S"&amp;INT((AA6-($B$3-WEEKDAY($B$3)+1))/7)+1,"")</f>
        <v>S5</v>
      </c>
      <c r="AB4" s="10" t="str">
        <f>IF(INT((AB6-($B$3-WEEKDAY($B$3)+1))/7)+1&lt;&gt;INT((AA6-($B$3-WEEKDAY($B$3)+1))/7)+1,"S"&amp;INT((AB6-($B$3-WEEKDAY($B$3)+1))/7)+1,"")</f>
        <v/>
      </c>
      <c r="AC4" s="10" t="str">
        <f>IF(INT((AC6-($B$3-WEEKDAY($B$3)+1))/7)+1&lt;&gt;INT((AB6-($B$3-WEEKDAY($B$3)+1))/7)+1,"S"&amp;INT((AC6-($B$3-WEEKDAY($B$3)+1))/7)+1,"")</f>
        <v/>
      </c>
      <c r="AD4" s="10" t="str">
        <f>IF(INT((AD6-($B$3-WEEKDAY($B$3)+1))/7)+1&lt;&gt;INT((AC6-($B$3-WEEKDAY($B$3)+1))/7)+1,"S"&amp;INT((AD6-($B$3-WEEKDAY($B$3)+1))/7)+1,"")</f>
        <v/>
      </c>
      <c r="AE4" s="10" t="str">
        <f>IF(INT((AE6-($B$3-WEEKDAY($B$3)+1))/7)+1&lt;&gt;INT((AD6-($B$3-WEEKDAY($B$3)+1))/7)+1,"S"&amp;INT((AE6-($B$3-WEEKDAY($B$3)+1))/7)+1,"")</f>
        <v/>
      </c>
      <c r="AF4" s="10" t="str">
        <f>IF(INT((AF6-($B$3-WEEKDAY($B$3)+1))/7)+1&lt;&gt;INT((AE6-($B$3-WEEKDAY($B$3)+1))/7)+1,"S"&amp;INT((AF6-($B$3-WEEKDAY($B$3)+1))/7)+1,"")</f>
        <v>S6</v>
      </c>
      <c r="AG4" s="10" t="str">
        <f>IF(INT((AG6-($B$3-WEEKDAY($B$3)+1))/7)+1&lt;&gt;INT((AF6-($B$3-WEEKDAY($B$3)+1))/7)+1,"S"&amp;INT((AG6-($B$3-WEEKDAY($B$3)+1))/7)+1,"")</f>
        <v/>
      </c>
      <c r="AH4" s="10" t="str">
        <f>IF(INT((AH6-($B$3-WEEKDAY($B$3)+1))/7)+1&lt;&gt;INT((AG6-($B$3-WEEKDAY($B$3)+1))/7)+1,"S"&amp;INT((AH6-($B$3-WEEKDAY($B$3)+1))/7)+1,"")</f>
        <v/>
      </c>
      <c r="AI4" s="10" t="str">
        <f>IF(INT((AI6-($B$3-WEEKDAY($B$3)+1))/7)+1&lt;&gt;INT((AH6-($B$3-WEEKDAY($B$3)+1))/7)+1,"S"&amp;INT((AI6-($B$3-WEEKDAY($B$3)+1))/7)+1,"")</f>
        <v/>
      </c>
      <c r="AJ4" s="10" t="str">
        <f>IF(INT((AJ6-($B$3-WEEKDAY($B$3)+1))/7)+1&lt;&gt;INT((AI6-($B$3-WEEKDAY($B$3)+1))/7)+1,"S"&amp;INT((AJ6-($B$3-WEEKDAY($B$3)+1))/7)+1,"")</f>
        <v>S7</v>
      </c>
      <c r="AK4" s="10" t="str">
        <f>IF(INT((AK6-($B$3-WEEKDAY($B$3)+1))/7)+1&lt;&gt;INT((AJ6-($B$3-WEEKDAY($B$3)+1))/7)+1,"S"&amp;INT((AK6-($B$3-WEEKDAY($B$3)+1))/7)+1,"")</f>
        <v/>
      </c>
      <c r="AL4" s="10" t="str">
        <f>IF(INT((AL6-($B$3-WEEKDAY($B$3)+1))/7)+1&lt;&gt;INT((AK6-($B$3-WEEKDAY($B$3)+1))/7)+1,"S"&amp;INT((AL6-($B$3-WEEKDAY($B$3)+1))/7)+1,"")</f>
        <v/>
      </c>
      <c r="AM4" s="10" t="str">
        <f>IF(INT((AM6-($B$3-WEEKDAY($B$3)+1))/7)+1&lt;&gt;INT((AL6-($B$3-WEEKDAY($B$3)+1))/7)+1,"S"&amp;INT((AM6-($B$3-WEEKDAY($B$3)+1))/7)+1,"")</f>
        <v/>
      </c>
      <c r="AN4" s="10" t="str">
        <f>IF(INT((AN6-($B$3-WEEKDAY($B$3)+1))/7)+1&lt;&gt;INT((AM6-($B$3-WEEKDAY($B$3)+1))/7)+1,"S"&amp;INT((AN6-($B$3-WEEKDAY($B$3)+1))/7)+1,"")</f>
        <v/>
      </c>
      <c r="AO4" s="10" t="str">
        <f>IF(INT((AO6-($B$3-WEEKDAY($B$3)+1))/7)+1&lt;&gt;INT((AN6-($B$3-WEEKDAY($B$3)+1))/7)+1,"S"&amp;INT((AO6-($B$3-WEEKDAY($B$3)+1))/7)+1,"")</f>
        <v>S8</v>
      </c>
      <c r="AP4" s="10" t="str">
        <f>IF(INT((AP6-($B$3-WEEKDAY($B$3)+1))/7)+1&lt;&gt;INT((AO6-($B$3-WEEKDAY($B$3)+1))/7)+1,"S"&amp;INT((AP6-($B$3-WEEKDAY($B$3)+1))/7)+1,"")</f>
        <v/>
      </c>
      <c r="AQ4" s="10" t="str">
        <f>IF(INT((AQ6-($B$3-WEEKDAY($B$3)+1))/7)+1&lt;&gt;INT((AP6-($B$3-WEEKDAY($B$3)+1))/7)+1,"S"&amp;INT((AQ6-($B$3-WEEKDAY($B$3)+1))/7)+1,"")</f>
        <v/>
      </c>
      <c r="AR4" s="10" t="str">
        <f>IF(INT((AR6-($B$3-WEEKDAY($B$3)+1))/7)+1&lt;&gt;INT((AQ6-($B$3-WEEKDAY($B$3)+1))/7)+1,"S"&amp;INT((AR6-($B$3-WEEKDAY($B$3)+1))/7)+1,"")</f>
        <v/>
      </c>
      <c r="AS4" s="10" t="str">
        <f>IF(INT((AS6-($B$3-WEEKDAY($B$3)+1))/7)+1&lt;&gt;INT((AR6-($B$3-WEEKDAY($B$3)+1))/7)+1,"S"&amp;INT((AS6-($B$3-WEEKDAY($B$3)+1))/7)+1,"")</f>
        <v/>
      </c>
      <c r="AT4" s="10" t="str">
        <f>IF(INT((AT6-($B$3-WEEKDAY($B$3)+1))/7)+1&lt;&gt;INT((AS6-($B$3-WEEKDAY($B$3)+1))/7)+1,"S"&amp;INT((AT6-($B$3-WEEKDAY($B$3)+1))/7)+1,"")</f>
        <v>S9</v>
      </c>
      <c r="AU4" s="10" t="str">
        <f>IF(INT((AU6-($B$3-WEEKDAY($B$3)+1))/7)+1&lt;&gt;INT((AT6-($B$3-WEEKDAY($B$3)+1))/7)+1,"S"&amp;INT((AU6-($B$3-WEEKDAY($B$3)+1))/7)+1,"")</f>
        <v/>
      </c>
      <c r="AV4" s="10" t="str">
        <f>IF(INT((AV6-($B$3-WEEKDAY($B$3)+1))/7)+1&lt;&gt;INT((AU6-($B$3-WEEKDAY($B$3)+1))/7)+1,"S"&amp;INT((AV6-($B$3-WEEKDAY($B$3)+1))/7)+1,"")</f>
        <v/>
      </c>
      <c r="AW4" s="10" t="str">
        <f>IF(INT((AW6-($B$3-WEEKDAY($B$3)+1))/7)+1&lt;&gt;INT((AV6-($B$3-WEEKDAY($B$3)+1))/7)+1,"S"&amp;INT((AW6-($B$3-WEEKDAY($B$3)+1))/7)+1,"")</f>
        <v/>
      </c>
      <c r="AX4" s="10" t="str">
        <f>IF(INT((AX6-($B$3-WEEKDAY($B$3)+1))/7)+1&lt;&gt;INT((AW6-($B$3-WEEKDAY($B$3)+1))/7)+1,"S"&amp;INT((AX6-($B$3-WEEKDAY($B$3)+1))/7)+1,"")</f>
        <v>S10</v>
      </c>
      <c r="AY4" s="10" t="str">
        <f>IF(INT((AY6-($B$3-WEEKDAY($B$3)+1))/7)+1&lt;&gt;INT((AX6-($B$3-WEEKDAY($B$3)+1))/7)+1,"S"&amp;INT((AY6-($B$3-WEEKDAY($B$3)+1))/7)+1,"")</f>
        <v/>
      </c>
      <c r="AZ4" s="10" t="str">
        <f>IF(INT((AZ6-($B$3-WEEKDAY($B$3)+1))/7)+1&lt;&gt;INT((AY6-($B$3-WEEKDAY($B$3)+1))/7)+1,"S"&amp;INT((AZ6-($B$3-WEEKDAY($B$3)+1))/7)+1,"")</f>
        <v/>
      </c>
      <c r="BA4" s="10" t="str">
        <f>IF(INT((BA6-($B$3-WEEKDAY($B$3)+1))/7)+1&lt;&gt;INT((AZ6-($B$3-WEEKDAY($B$3)+1))/7)+1,"S"&amp;INT((BA6-($B$3-WEEKDAY($B$3)+1))/7)+1,"")</f>
        <v/>
      </c>
      <c r="BB4" s="10" t="str">
        <f>IF(INT((BB6-($B$3-WEEKDAY($B$3)+1))/7)+1&lt;&gt;INT((BA6-($B$3-WEEKDAY($B$3)+1))/7)+1,"S"&amp;INT((BB6-($B$3-WEEKDAY($B$3)+1))/7)+1,"")</f>
        <v/>
      </c>
      <c r="BC4" s="10" t="str">
        <f>IF(INT((BC6-($B$3-WEEKDAY($B$3)+1))/7)+1&lt;&gt;INT((BB6-($B$3-WEEKDAY($B$3)+1))/7)+1,"S"&amp;INT((BC6-($B$3-WEEKDAY($B$3)+1))/7)+1,"")</f>
        <v>S11</v>
      </c>
    </row>
    <row r="5" spans="1:55" x14ac:dyDescent="0.25">
      <c r="G5" s="11" t="str">
        <f>CHOOSE(MONTH(G6),"ENE","FEB","MAR","ABR","MAY","JUN","JUL","AGO","SEP","OCT","NOV","DIC")</f>
        <v>SEP</v>
      </c>
      <c r="H5" s="11" t="str">
        <f t="shared" ref="H5:BC5" si="0">IF(OR(H6=$G$6,MONTH(H6)&lt;&gt;MONTH(G6)),CHOOSE(MONTH(H6),"ENE","FEB","MAR","ABR","MAY","JUN","JUL","AGO","SEP","OCT","NOV","DIC"),"")</f>
        <v/>
      </c>
      <c r="I5" s="11" t="str">
        <f t="shared" si="0"/>
        <v/>
      </c>
      <c r="J5" s="11" t="str">
        <f t="shared" si="0"/>
        <v/>
      </c>
      <c r="K5" s="11" t="str">
        <f t="shared" si="0"/>
        <v/>
      </c>
      <c r="L5" s="11" t="str">
        <f t="shared" si="0"/>
        <v/>
      </c>
      <c r="M5" s="11" t="str">
        <f t="shared" si="0"/>
        <v/>
      </c>
      <c r="N5" s="11" t="str">
        <f t="shared" si="0"/>
        <v/>
      </c>
      <c r="O5" s="11" t="str">
        <f t="shared" si="0"/>
        <v/>
      </c>
      <c r="P5" s="11" t="str">
        <f t="shared" si="0"/>
        <v/>
      </c>
      <c r="Q5" s="11" t="str">
        <f t="shared" si="0"/>
        <v/>
      </c>
      <c r="R5" s="11" t="str">
        <f t="shared" si="0"/>
        <v/>
      </c>
      <c r="S5" s="11" t="str">
        <f t="shared" si="0"/>
        <v/>
      </c>
      <c r="T5" s="11" t="str">
        <f t="shared" si="0"/>
        <v/>
      </c>
      <c r="U5" s="11" t="str">
        <f t="shared" si="0"/>
        <v/>
      </c>
      <c r="V5" s="11" t="str">
        <f t="shared" si="0"/>
        <v/>
      </c>
      <c r="W5" s="11" t="str">
        <f t="shared" si="0"/>
        <v/>
      </c>
      <c r="X5" s="11" t="str">
        <f t="shared" si="0"/>
        <v/>
      </c>
      <c r="Y5" s="11" t="str">
        <f t="shared" si="0"/>
        <v>OCT</v>
      </c>
      <c r="Z5" s="11" t="str">
        <f t="shared" si="0"/>
        <v/>
      </c>
      <c r="AA5" s="11" t="str">
        <f t="shared" si="0"/>
        <v/>
      </c>
      <c r="AB5" s="11" t="str">
        <f t="shared" si="0"/>
        <v/>
      </c>
      <c r="AC5" s="11" t="str">
        <f t="shared" si="0"/>
        <v/>
      </c>
      <c r="AD5" s="11" t="str">
        <f t="shared" si="0"/>
        <v/>
      </c>
      <c r="AE5" s="11" t="str">
        <f t="shared" si="0"/>
        <v/>
      </c>
      <c r="AF5" s="11" t="str">
        <f t="shared" si="0"/>
        <v/>
      </c>
      <c r="AG5" s="11" t="str">
        <f t="shared" si="0"/>
        <v/>
      </c>
      <c r="AH5" s="11" t="str">
        <f t="shared" si="0"/>
        <v/>
      </c>
      <c r="AI5" s="11" t="str">
        <f t="shared" si="0"/>
        <v/>
      </c>
      <c r="AJ5" s="11" t="str">
        <f t="shared" si="0"/>
        <v/>
      </c>
      <c r="AK5" s="11" t="str">
        <f t="shared" si="0"/>
        <v/>
      </c>
      <c r="AL5" s="11" t="str">
        <f t="shared" si="0"/>
        <v/>
      </c>
      <c r="AM5" s="11" t="str">
        <f t="shared" si="0"/>
        <v/>
      </c>
      <c r="AN5" s="11" t="str">
        <f t="shared" si="0"/>
        <v/>
      </c>
      <c r="AO5" s="11" t="str">
        <f t="shared" si="0"/>
        <v/>
      </c>
      <c r="AP5" s="11" t="str">
        <f t="shared" si="0"/>
        <v/>
      </c>
      <c r="AQ5" s="11" t="str">
        <f t="shared" si="0"/>
        <v/>
      </c>
      <c r="AR5" s="11" t="str">
        <f t="shared" si="0"/>
        <v/>
      </c>
      <c r="AS5" s="11" t="str">
        <f t="shared" si="0"/>
        <v/>
      </c>
      <c r="AT5" s="11" t="str">
        <f t="shared" si="0"/>
        <v>NOV</v>
      </c>
      <c r="AU5" s="11" t="str">
        <f t="shared" si="0"/>
        <v/>
      </c>
      <c r="AV5" s="11" t="str">
        <f t="shared" si="0"/>
        <v/>
      </c>
      <c r="AW5" s="11" t="str">
        <f t="shared" si="0"/>
        <v/>
      </c>
      <c r="AX5" s="11" t="str">
        <f t="shared" si="0"/>
        <v/>
      </c>
      <c r="AY5" s="11" t="str">
        <f t="shared" si="0"/>
        <v/>
      </c>
      <c r="AZ5" s="11" t="str">
        <f t="shared" si="0"/>
        <v/>
      </c>
      <c r="BA5" s="11" t="str">
        <f t="shared" si="0"/>
        <v/>
      </c>
      <c r="BB5" s="11" t="str">
        <f t="shared" si="0"/>
        <v/>
      </c>
      <c r="BC5" s="11" t="str">
        <f t="shared" si="0"/>
        <v/>
      </c>
    </row>
    <row r="6" spans="1:55" x14ac:dyDescent="0.25">
      <c r="A6" s="4" t="s">
        <v>2</v>
      </c>
      <c r="B6" s="59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12">
        <f>WORKDAY($B$3-1,1,Festivos!$A$2:$A$20)</f>
        <v>46272</v>
      </c>
      <c r="H6" s="12">
        <f>WORKDAY(G6,1,Festivos!$A$2:$A$20)</f>
        <v>46273</v>
      </c>
      <c r="I6" s="12">
        <f>WORKDAY(H6,1,Festivos!$A$2:$A$20)</f>
        <v>46274</v>
      </c>
      <c r="J6" s="12">
        <f>WORKDAY(I6,1,Festivos!$A$2:$A$20)</f>
        <v>46275</v>
      </c>
      <c r="K6" s="12">
        <f>WORKDAY(J6,1,Festivos!$A$2:$A$20)</f>
        <v>46276</v>
      </c>
      <c r="L6" s="12">
        <f>WORKDAY(K6,1,Festivos!$A$2:$A$20)</f>
        <v>46279</v>
      </c>
      <c r="M6" s="12">
        <f>WORKDAY(L6,1,Festivos!$A$2:$A$20)</f>
        <v>46280</v>
      </c>
      <c r="N6" s="12">
        <f>WORKDAY(M6,1,Festivos!$A$2:$A$20)</f>
        <v>46281</v>
      </c>
      <c r="O6" s="12">
        <f>WORKDAY(N6,1,Festivos!$A$2:$A$20)</f>
        <v>46282</v>
      </c>
      <c r="P6" s="12">
        <f>WORKDAY(O6,1,Festivos!$A$2:$A$20)</f>
        <v>46283</v>
      </c>
      <c r="Q6" s="12">
        <f>WORKDAY(P6,1,Festivos!$A$2:$A$20)</f>
        <v>46286</v>
      </c>
      <c r="R6" s="12">
        <f>WORKDAY(Q6,1,Festivos!$A$2:$A$20)</f>
        <v>46287</v>
      </c>
      <c r="S6" s="12">
        <f>WORKDAY(R6,1,Festivos!$A$2:$A$20)</f>
        <v>46288</v>
      </c>
      <c r="T6" s="12">
        <f>WORKDAY(S6,1,Festivos!$A$2:$A$20)</f>
        <v>46289</v>
      </c>
      <c r="U6" s="12">
        <f>WORKDAY(T6,1,Festivos!$A$2:$A$20)</f>
        <v>46290</v>
      </c>
      <c r="V6" s="12">
        <f>WORKDAY(U6,1,Festivos!$A$2:$A$20)</f>
        <v>46293</v>
      </c>
      <c r="W6" s="12">
        <f>WORKDAY(V6,1,Festivos!$A$2:$A$20)</f>
        <v>46294</v>
      </c>
      <c r="X6" s="12">
        <f>WORKDAY(W6,1,Festivos!$A$2:$A$20)</f>
        <v>46295</v>
      </c>
      <c r="Y6" s="12">
        <f>WORKDAY(X6,1,Festivos!$A$2:$A$20)</f>
        <v>46296</v>
      </c>
      <c r="Z6" s="12">
        <f>WORKDAY(Y6,1,Festivos!$A$2:$A$20)</f>
        <v>46297</v>
      </c>
      <c r="AA6" s="12">
        <f>WORKDAY(Z6,1,Festivos!$A$2:$A$20)</f>
        <v>46300</v>
      </c>
      <c r="AB6" s="12">
        <f>WORKDAY(AA6,1,Festivos!$A$2:$A$20)</f>
        <v>46301</v>
      </c>
      <c r="AC6" s="12">
        <f>WORKDAY(AB6,1,Festivos!$A$2:$A$20)</f>
        <v>46302</v>
      </c>
      <c r="AD6" s="12">
        <f>WORKDAY(AC6,1,Festivos!$A$2:$A$20)</f>
        <v>46303</v>
      </c>
      <c r="AE6" s="12">
        <f>WORKDAY(AD6,1,Festivos!$A$2:$A$20)</f>
        <v>46304</v>
      </c>
      <c r="AF6" s="12">
        <f>WORKDAY(AE6,1,Festivos!$A$2:$A$20)</f>
        <v>46308</v>
      </c>
      <c r="AG6" s="12">
        <f>WORKDAY(AF6,1,Festivos!$A$2:$A$20)</f>
        <v>46309</v>
      </c>
      <c r="AH6" s="12">
        <f>WORKDAY(AG6,1,Festivos!$A$2:$A$20)</f>
        <v>46310</v>
      </c>
      <c r="AI6" s="12">
        <f>WORKDAY(AH6,1,Festivos!$A$2:$A$20)</f>
        <v>46311</v>
      </c>
      <c r="AJ6" s="12">
        <f>WORKDAY(AI6,1,Festivos!$A$2:$A$20)</f>
        <v>46314</v>
      </c>
      <c r="AK6" s="12">
        <f>WORKDAY(AJ6,1,Festivos!$A$2:$A$20)</f>
        <v>46315</v>
      </c>
      <c r="AL6" s="12">
        <f>WORKDAY(AK6,1,Festivos!$A$2:$A$20)</f>
        <v>46316</v>
      </c>
      <c r="AM6" s="12">
        <f>WORKDAY(AL6,1,Festivos!$A$2:$A$20)</f>
        <v>46317</v>
      </c>
      <c r="AN6" s="12">
        <f>WORKDAY(AM6,1,Festivos!$A$2:$A$20)</f>
        <v>46318</v>
      </c>
      <c r="AO6" s="12">
        <f>WORKDAY(AN6,1,Festivos!$A$2:$A$20)</f>
        <v>46321</v>
      </c>
      <c r="AP6" s="12">
        <f>WORKDAY(AO6,1,Festivos!$A$2:$A$20)</f>
        <v>46322</v>
      </c>
      <c r="AQ6" s="12">
        <f>WORKDAY(AP6,1,Festivos!$A$2:$A$20)</f>
        <v>46323</v>
      </c>
      <c r="AR6" s="12">
        <f>WORKDAY(AQ6,1,Festivos!$A$2:$A$20)</f>
        <v>46324</v>
      </c>
      <c r="AS6" s="12">
        <f>WORKDAY(AR6,1,Festivos!$A$2:$A$20)</f>
        <v>46325</v>
      </c>
      <c r="AT6" s="12">
        <f>WORKDAY(AS6,1,Festivos!$A$2:$A$20)</f>
        <v>46329</v>
      </c>
      <c r="AU6" s="12">
        <f>WORKDAY(AT6,1,Festivos!$A$2:$A$20)</f>
        <v>46330</v>
      </c>
      <c r="AV6" s="12">
        <f>WORKDAY(AU6,1,Festivos!$A$2:$A$20)</f>
        <v>46331</v>
      </c>
      <c r="AW6" s="12">
        <f>WORKDAY(AV6,1,Festivos!$A$2:$A$20)</f>
        <v>46332</v>
      </c>
      <c r="AX6" s="12">
        <f>WORKDAY(AW6,1,Festivos!$A$2:$A$20)</f>
        <v>46335</v>
      </c>
      <c r="AY6" s="12">
        <f>WORKDAY(AX6,1,Festivos!$A$2:$A$20)</f>
        <v>46336</v>
      </c>
      <c r="AZ6" s="12">
        <f>WORKDAY(AY6,1,Festivos!$A$2:$A$20)</f>
        <v>46337</v>
      </c>
      <c r="BA6" s="12">
        <f>WORKDAY(AZ6,1,Festivos!$A$2:$A$20)</f>
        <v>46338</v>
      </c>
      <c r="BB6" s="12">
        <f>WORKDAY(BA6,1,Festivos!$A$2:$A$20)</f>
        <v>46339</v>
      </c>
      <c r="BC6" s="12">
        <f>WORKDAY(BB6,1,Festivos!$A$2:$A$20)</f>
        <v>46343</v>
      </c>
    </row>
    <row r="7" spans="1:55" x14ac:dyDescent="0.25">
      <c r="A7" s="4"/>
      <c r="B7" s="60"/>
      <c r="C7" s="4"/>
      <c r="D7" s="4"/>
      <c r="E7" s="4"/>
      <c r="F7" s="4"/>
      <c r="G7" s="13" t="str">
        <f t="shared" ref="G7:AL7" si="1">MID("DLMXJVS",WEEKDAY(G6),1)</f>
        <v>L</v>
      </c>
      <c r="H7" s="13" t="str">
        <f t="shared" si="1"/>
        <v>M</v>
      </c>
      <c r="I7" s="13" t="str">
        <f t="shared" si="1"/>
        <v>X</v>
      </c>
      <c r="J7" s="13" t="str">
        <f t="shared" si="1"/>
        <v>J</v>
      </c>
      <c r="K7" s="13" t="str">
        <f t="shared" si="1"/>
        <v>V</v>
      </c>
      <c r="L7" s="13" t="str">
        <f t="shared" si="1"/>
        <v>L</v>
      </c>
      <c r="M7" s="13" t="str">
        <f t="shared" si="1"/>
        <v>M</v>
      </c>
      <c r="N7" s="13" t="str">
        <f t="shared" si="1"/>
        <v>X</v>
      </c>
      <c r="O7" s="13" t="str">
        <f t="shared" si="1"/>
        <v>J</v>
      </c>
      <c r="P7" s="13" t="str">
        <f t="shared" si="1"/>
        <v>V</v>
      </c>
      <c r="Q7" s="13" t="str">
        <f t="shared" si="1"/>
        <v>L</v>
      </c>
      <c r="R7" s="13" t="str">
        <f t="shared" si="1"/>
        <v>M</v>
      </c>
      <c r="S7" s="13" t="str">
        <f t="shared" si="1"/>
        <v>X</v>
      </c>
      <c r="T7" s="13" t="str">
        <f t="shared" si="1"/>
        <v>J</v>
      </c>
      <c r="U7" s="13" t="str">
        <f t="shared" si="1"/>
        <v>V</v>
      </c>
      <c r="V7" s="13" t="str">
        <f t="shared" si="1"/>
        <v>L</v>
      </c>
      <c r="W7" s="13" t="str">
        <f t="shared" si="1"/>
        <v>M</v>
      </c>
      <c r="X7" s="13" t="str">
        <f t="shared" si="1"/>
        <v>X</v>
      </c>
      <c r="Y7" s="13" t="str">
        <f t="shared" si="1"/>
        <v>J</v>
      </c>
      <c r="Z7" s="13" t="str">
        <f t="shared" si="1"/>
        <v>V</v>
      </c>
      <c r="AA7" s="13" t="str">
        <f t="shared" si="1"/>
        <v>L</v>
      </c>
      <c r="AB7" s="13" t="str">
        <f t="shared" si="1"/>
        <v>M</v>
      </c>
      <c r="AC7" s="13" t="str">
        <f t="shared" si="1"/>
        <v>X</v>
      </c>
      <c r="AD7" s="13" t="str">
        <f t="shared" si="1"/>
        <v>J</v>
      </c>
      <c r="AE7" s="13" t="str">
        <f t="shared" si="1"/>
        <v>V</v>
      </c>
      <c r="AF7" s="13" t="str">
        <f t="shared" si="1"/>
        <v>M</v>
      </c>
      <c r="AG7" s="13" t="str">
        <f t="shared" si="1"/>
        <v>X</v>
      </c>
      <c r="AH7" s="13" t="str">
        <f t="shared" si="1"/>
        <v>J</v>
      </c>
      <c r="AI7" s="13" t="str">
        <f t="shared" si="1"/>
        <v>V</v>
      </c>
      <c r="AJ7" s="13" t="str">
        <f t="shared" si="1"/>
        <v>L</v>
      </c>
      <c r="AK7" s="13" t="str">
        <f t="shared" si="1"/>
        <v>M</v>
      </c>
      <c r="AL7" s="13" t="str">
        <f t="shared" si="1"/>
        <v>X</v>
      </c>
      <c r="AM7" s="13" t="str">
        <f t="shared" ref="AM7:BR7" si="2">MID("DLMXJVS",WEEKDAY(AM6),1)</f>
        <v>J</v>
      </c>
      <c r="AN7" s="13" t="str">
        <f t="shared" si="2"/>
        <v>V</v>
      </c>
      <c r="AO7" s="13" t="str">
        <f t="shared" si="2"/>
        <v>L</v>
      </c>
      <c r="AP7" s="13" t="str">
        <f t="shared" si="2"/>
        <v>M</v>
      </c>
      <c r="AQ7" s="13" t="str">
        <f t="shared" si="2"/>
        <v>X</v>
      </c>
      <c r="AR7" s="13" t="str">
        <f t="shared" si="2"/>
        <v>J</v>
      </c>
      <c r="AS7" s="13" t="str">
        <f t="shared" si="2"/>
        <v>V</v>
      </c>
      <c r="AT7" s="13" t="str">
        <f t="shared" si="2"/>
        <v>M</v>
      </c>
      <c r="AU7" s="13" t="str">
        <f t="shared" si="2"/>
        <v>X</v>
      </c>
      <c r="AV7" s="13" t="str">
        <f t="shared" si="2"/>
        <v>J</v>
      </c>
      <c r="AW7" s="13" t="str">
        <f t="shared" si="2"/>
        <v>V</v>
      </c>
      <c r="AX7" s="13" t="str">
        <f t="shared" si="2"/>
        <v>L</v>
      </c>
      <c r="AY7" s="13" t="str">
        <f t="shared" si="2"/>
        <v>M</v>
      </c>
      <c r="AZ7" s="13" t="str">
        <f t="shared" si="2"/>
        <v>X</v>
      </c>
      <c r="BA7" s="13" t="str">
        <f t="shared" si="2"/>
        <v>J</v>
      </c>
      <c r="BB7" s="13" t="str">
        <f t="shared" si="2"/>
        <v>V</v>
      </c>
      <c r="BC7" s="13" t="str">
        <f t="shared" si="2"/>
        <v>M</v>
      </c>
    </row>
    <row r="8" spans="1:55" x14ac:dyDescent="0.25">
      <c r="A8" s="14" t="s">
        <v>8</v>
      </c>
      <c r="B8" s="15"/>
      <c r="C8" s="16"/>
      <c r="D8" s="17"/>
      <c r="E8" s="17"/>
      <c r="F8" s="16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</row>
    <row r="9" spans="1:55" x14ac:dyDescent="0.25">
      <c r="A9" s="19" t="s">
        <v>9</v>
      </c>
      <c r="B9" s="20"/>
      <c r="C9" s="21">
        <v>4</v>
      </c>
      <c r="D9" s="22">
        <f>WORKDAY($B$3-1,1,Festivos!$A$2:$A$20)</f>
        <v>46272</v>
      </c>
      <c r="E9" s="22">
        <f>WORKDAY(D9,C9-1,Festivos!$A$2:$A$20)</f>
        <v>46275</v>
      </c>
      <c r="F9" s="23" t="str">
        <f>"S"&amp;(INT((D9-($B$3-WEEKDAY($B$3)+1))/7)+1)</f>
        <v>S1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</row>
    <row r="10" spans="1:55" x14ac:dyDescent="0.25">
      <c r="A10" s="19" t="s">
        <v>10</v>
      </c>
      <c r="B10" s="20"/>
      <c r="C10" s="21">
        <v>1</v>
      </c>
      <c r="D10" s="22">
        <f>WORKDAY(E9,1,Festivos!$A$2:$A$20)</f>
        <v>46276</v>
      </c>
      <c r="E10" s="22">
        <f>WORKDAY(D10,C10-1,Festivos!$A$2:$A$20)</f>
        <v>46276</v>
      </c>
      <c r="F10" s="23" t="str">
        <f>"S"&amp;(INT((D10-($B$3-WEEKDAY($B$3)+1))/7)+1)</f>
        <v>S1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</row>
    <row r="11" spans="1:55" x14ac:dyDescent="0.25">
      <c r="A11" s="19" t="s">
        <v>11</v>
      </c>
      <c r="B11" s="20"/>
      <c r="C11" s="21">
        <v>5</v>
      </c>
      <c r="D11" s="22">
        <f>WORKDAY(E10,1,Festivos!$A$2:$A$20)</f>
        <v>46279</v>
      </c>
      <c r="E11" s="22">
        <f>WORKDAY(D11,C11-1,Festivos!$A$2:$A$20)</f>
        <v>46283</v>
      </c>
      <c r="F11" s="23" t="str">
        <f>"S"&amp;(INT((D11-($B$3-WEEKDAY($B$3)+1))/7)+1)</f>
        <v>S2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  <row r="12" spans="1:55" x14ac:dyDescent="0.25">
      <c r="A12" s="19" t="s">
        <v>12</v>
      </c>
      <c r="B12" s="20"/>
      <c r="C12" s="21">
        <v>5</v>
      </c>
      <c r="D12" s="22">
        <f>WORKDAY(E11,1,Festivos!$A$2:$A$20)</f>
        <v>46286</v>
      </c>
      <c r="E12" s="22">
        <f>WORKDAY(D12,C12-1,Festivos!$A$2:$A$20)</f>
        <v>46290</v>
      </c>
      <c r="F12" s="23" t="str">
        <f>"S"&amp;(INT((D12-($B$3-WEEKDAY($B$3)+1))/7)+1)</f>
        <v>S3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</row>
    <row r="13" spans="1:55" x14ac:dyDescent="0.25">
      <c r="A13" s="24" t="s">
        <v>13</v>
      </c>
      <c r="B13" s="25"/>
      <c r="C13" s="25">
        <v>0</v>
      </c>
      <c r="D13" s="22">
        <f>MAX(E9:E12)</f>
        <v>46290</v>
      </c>
      <c r="E13" s="22">
        <f>D13</f>
        <v>46290</v>
      </c>
      <c r="F13" s="26" t="str">
        <f>"S"&amp;(INT((D13-($B$3-WEEKDAY($B$3)+1))/7)+1)</f>
        <v>S3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</row>
    <row r="14" spans="1:55" x14ac:dyDescent="0.25">
      <c r="A14" s="14" t="s">
        <v>14</v>
      </c>
      <c r="B14" s="27" t="s">
        <v>15</v>
      </c>
      <c r="C14" s="16"/>
      <c r="D14" s="17"/>
      <c r="E14" s="17"/>
      <c r="F14" s="16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</row>
    <row r="15" spans="1:55" x14ac:dyDescent="0.25">
      <c r="A15" s="19" t="s">
        <v>16</v>
      </c>
      <c r="B15" s="20"/>
      <c r="C15" s="21">
        <v>2</v>
      </c>
      <c r="D15" s="22">
        <f>WORKDAY(E13,1,Festivos!$A$2:$A$20)</f>
        <v>46293</v>
      </c>
      <c r="E15" s="22">
        <f>WORKDAY(D15,C15-1,Festivos!$A$2:$A$20)</f>
        <v>46294</v>
      </c>
      <c r="F15" s="23" t="str">
        <f>"S"&amp;(INT((D15-($B$3-WEEKDAY($B$3)+1))/7)+1)</f>
        <v>S4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</row>
    <row r="16" spans="1:55" x14ac:dyDescent="0.25">
      <c r="A16" s="19" t="s">
        <v>17</v>
      </c>
      <c r="B16" s="20" t="s">
        <v>18</v>
      </c>
      <c r="C16" s="21">
        <v>2</v>
      </c>
      <c r="D16" s="22">
        <f>WORKDAY(E15,1,Festivos!$A$2:$A$20)</f>
        <v>46295</v>
      </c>
      <c r="E16" s="22">
        <f>WORKDAY(D16,C16-1,Festivos!$A$2:$A$20)</f>
        <v>46296</v>
      </c>
      <c r="F16" s="23" t="str">
        <f>"S"&amp;(INT((D16-($B$3-WEEKDAY($B$3)+1))/7)+1)</f>
        <v>S4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</row>
    <row r="17" spans="1:55" x14ac:dyDescent="0.25">
      <c r="A17" s="19" t="s">
        <v>19</v>
      </c>
      <c r="B17" s="20" t="s">
        <v>20</v>
      </c>
      <c r="C17" s="21">
        <v>1</v>
      </c>
      <c r="D17" s="22">
        <f>WORKDAY(E16,1,Festivos!$A$2:$A$20)</f>
        <v>46297</v>
      </c>
      <c r="E17" s="22">
        <f>WORKDAY(D17,C17-1,Festivos!$A$2:$A$20)</f>
        <v>46297</v>
      </c>
      <c r="F17" s="23" t="str">
        <f>"S"&amp;(INT((D17-($B$3-WEEKDAY($B$3)+1))/7)+1)</f>
        <v>S4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</row>
    <row r="18" spans="1:55" x14ac:dyDescent="0.25">
      <c r="A18" s="19" t="s">
        <v>21</v>
      </c>
      <c r="B18" s="20" t="s">
        <v>22</v>
      </c>
      <c r="C18" s="21">
        <v>2</v>
      </c>
      <c r="D18" s="22">
        <f>WORKDAY(E17,1,Festivos!$A$2:$A$20)</f>
        <v>46300</v>
      </c>
      <c r="E18" s="22">
        <f>WORKDAY(D18,C18-1,Festivos!$A$2:$A$20)</f>
        <v>46301</v>
      </c>
      <c r="F18" s="23" t="str">
        <f>"S"&amp;(INT((D18-($B$3-WEEKDAY($B$3)+1))/7)+1)</f>
        <v>S5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</row>
    <row r="19" spans="1:55" x14ac:dyDescent="0.25">
      <c r="A19" s="19" t="s">
        <v>23</v>
      </c>
      <c r="B19" s="20" t="s">
        <v>24</v>
      </c>
      <c r="C19" s="21">
        <v>2</v>
      </c>
      <c r="D19" s="22">
        <f>D18</f>
        <v>46300</v>
      </c>
      <c r="E19" s="22">
        <f>WORKDAY(D19,C19-1,Festivos!$A$2:$A$20)</f>
        <v>46301</v>
      </c>
      <c r="F19" s="23" t="str">
        <f>"S"&amp;(INT((D19-($B$3-WEEKDAY($B$3)+1))/7)+1)</f>
        <v>S5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</row>
    <row r="20" spans="1:55" x14ac:dyDescent="0.25">
      <c r="A20" s="24" t="s">
        <v>25</v>
      </c>
      <c r="B20" s="25"/>
      <c r="C20" s="25">
        <v>0</v>
      </c>
      <c r="D20" s="22">
        <f>MAX(E15:E19)</f>
        <v>46301</v>
      </c>
      <c r="E20" s="22">
        <f>D20</f>
        <v>46301</v>
      </c>
      <c r="F20" s="26" t="str">
        <f>"S"&amp;(INT((D20-($B$3-WEEKDAY($B$3)+1))/7)+1)</f>
        <v>S5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</row>
    <row r="21" spans="1:55" x14ac:dyDescent="0.25">
      <c r="A21" s="14" t="s">
        <v>26</v>
      </c>
      <c r="B21" s="27" t="s">
        <v>27</v>
      </c>
      <c r="C21" s="16"/>
      <c r="D21" s="17"/>
      <c r="E21" s="17"/>
      <c r="F21" s="16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</row>
    <row r="22" spans="1:55" x14ac:dyDescent="0.25">
      <c r="A22" s="19" t="s">
        <v>28</v>
      </c>
      <c r="B22" s="20" t="s">
        <v>29</v>
      </c>
      <c r="C22" s="21">
        <v>2</v>
      </c>
      <c r="D22" s="22">
        <f>WORKDAY(E20,1,Festivos!$A$2:$A$20)</f>
        <v>46302</v>
      </c>
      <c r="E22" s="22">
        <f>WORKDAY(D22,C22-1,Festivos!$A$2:$A$20)</f>
        <v>46303</v>
      </c>
      <c r="F22" s="23" t="str">
        <f>"S"&amp;(INT((D22-($B$3-WEEKDAY($B$3)+1))/7)+1)</f>
        <v>S5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</row>
    <row r="23" spans="1:55" x14ac:dyDescent="0.25">
      <c r="A23" s="19" t="s">
        <v>30</v>
      </c>
      <c r="B23" s="20"/>
      <c r="C23" s="21">
        <v>2</v>
      </c>
      <c r="D23" s="22">
        <f>D22</f>
        <v>46302</v>
      </c>
      <c r="E23" s="22">
        <f>WORKDAY(D23,C23-1,Festivos!$A$2:$A$20)</f>
        <v>46303</v>
      </c>
      <c r="F23" s="23" t="str">
        <f>"S"&amp;(INT((D23-($B$3-WEEKDAY($B$3)+1))/7)+1)</f>
        <v>S5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</row>
    <row r="24" spans="1:55" x14ac:dyDescent="0.25">
      <c r="A24" s="19" t="s">
        <v>31</v>
      </c>
      <c r="B24" s="20" t="s">
        <v>32</v>
      </c>
      <c r="C24" s="21">
        <v>1</v>
      </c>
      <c r="D24" s="22">
        <f>WORKDAY(E23,1,Festivos!$A$2:$A$20)</f>
        <v>46304</v>
      </c>
      <c r="E24" s="22">
        <f>WORKDAY(D24,C24-1,Festivos!$A$2:$A$20)</f>
        <v>46304</v>
      </c>
      <c r="F24" s="23" t="str">
        <f>"S"&amp;(INT((D24-($B$3-WEEKDAY($B$3)+1))/7)+1)</f>
        <v>S5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</row>
    <row r="25" spans="1:55" x14ac:dyDescent="0.25">
      <c r="A25" s="19" t="s">
        <v>33</v>
      </c>
      <c r="B25" s="20" t="s">
        <v>34</v>
      </c>
      <c r="C25" s="21">
        <v>2</v>
      </c>
      <c r="D25" s="22">
        <f>WORKDAY(E24,1,Festivos!$A$2:$A$20)</f>
        <v>46308</v>
      </c>
      <c r="E25" s="22">
        <f>WORKDAY(D25,C25-1,Festivos!$A$2:$A$20)</f>
        <v>46309</v>
      </c>
      <c r="F25" s="23" t="str">
        <f>"S"&amp;(INT((D25-($B$3-WEEKDAY($B$3)+1))/7)+1)</f>
        <v>S6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</row>
    <row r="26" spans="1:55" x14ac:dyDescent="0.25">
      <c r="A26" s="19" t="s">
        <v>35</v>
      </c>
      <c r="B26" s="20" t="s">
        <v>36</v>
      </c>
      <c r="C26" s="21">
        <v>1</v>
      </c>
      <c r="D26" s="22">
        <f>WORKDAY(E25,1,Festivos!$A$2:$A$20)</f>
        <v>46310</v>
      </c>
      <c r="E26" s="22">
        <f>WORKDAY(D26,C26-1,Festivos!$A$2:$A$20)</f>
        <v>46310</v>
      </c>
      <c r="F26" s="23" t="str">
        <f>"S"&amp;(INT((D26-($B$3-WEEKDAY($B$3)+1))/7)+1)</f>
        <v>S6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</row>
    <row r="27" spans="1:55" x14ac:dyDescent="0.25">
      <c r="A27" s="19" t="s">
        <v>37</v>
      </c>
      <c r="B27" s="20" t="s">
        <v>38</v>
      </c>
      <c r="C27" s="21">
        <v>1</v>
      </c>
      <c r="D27" s="22">
        <f>D26</f>
        <v>46310</v>
      </c>
      <c r="E27" s="22">
        <f>WORKDAY(D27,C27-1,Festivos!$A$2:$A$20)</f>
        <v>46310</v>
      </c>
      <c r="F27" s="23" t="str">
        <f>"S"&amp;(INT((D27-($B$3-WEEKDAY($B$3)+1))/7)+1)</f>
        <v>S6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</row>
    <row r="28" spans="1:55" x14ac:dyDescent="0.25">
      <c r="A28" s="24" t="s">
        <v>39</v>
      </c>
      <c r="B28" s="25"/>
      <c r="C28" s="25">
        <v>0</v>
      </c>
      <c r="D28" s="22">
        <f>MAX(E22:E27)</f>
        <v>46310</v>
      </c>
      <c r="E28" s="22">
        <f>D28</f>
        <v>46310</v>
      </c>
      <c r="F28" s="26" t="str">
        <f>"S"&amp;(INT((D28-($B$3-WEEKDAY($B$3)+1))/7)+1)</f>
        <v>S6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</row>
    <row r="29" spans="1:55" x14ac:dyDescent="0.25">
      <c r="A29" s="14" t="s">
        <v>40</v>
      </c>
      <c r="B29" s="27" t="s">
        <v>41</v>
      </c>
      <c r="C29" s="16"/>
      <c r="D29" s="17"/>
      <c r="E29" s="17"/>
      <c r="F29" s="16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</row>
    <row r="30" spans="1:55" x14ac:dyDescent="0.25">
      <c r="A30" s="19" t="s">
        <v>42</v>
      </c>
      <c r="B30" s="20" t="s">
        <v>43</v>
      </c>
      <c r="C30" s="21">
        <v>1</v>
      </c>
      <c r="D30" s="22">
        <f>WORKDAY(E28,1,Festivos!$A$2:$A$20)</f>
        <v>46311</v>
      </c>
      <c r="E30" s="22">
        <f>WORKDAY(D30,C30-1,Festivos!$A$2:$A$20)</f>
        <v>46311</v>
      </c>
      <c r="F30" s="23" t="str">
        <f>"S"&amp;(INT((D30-($B$3-WEEKDAY($B$3)+1))/7)+1)</f>
        <v>S6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</row>
    <row r="31" spans="1:55" x14ac:dyDescent="0.25">
      <c r="A31" s="19" t="s">
        <v>44</v>
      </c>
      <c r="B31" s="20" t="s">
        <v>45</v>
      </c>
      <c r="C31" s="21">
        <v>2</v>
      </c>
      <c r="D31" s="22">
        <f>WORKDAY(E30,1,Festivos!$A$2:$A$20)</f>
        <v>46314</v>
      </c>
      <c r="E31" s="22">
        <f>WORKDAY(D31,C31-1,Festivos!$A$2:$A$20)</f>
        <v>46315</v>
      </c>
      <c r="F31" s="23" t="str">
        <f>"S"&amp;(INT((D31-($B$3-WEEKDAY($B$3)+1))/7)+1)</f>
        <v>S7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</row>
    <row r="32" spans="1:55" x14ac:dyDescent="0.25">
      <c r="A32" s="19" t="s">
        <v>46</v>
      </c>
      <c r="B32" s="20" t="s">
        <v>47</v>
      </c>
      <c r="C32" s="21">
        <v>1</v>
      </c>
      <c r="D32" s="22">
        <f>WORKDAY(E31,1,Festivos!$A$2:$A$20)</f>
        <v>46316</v>
      </c>
      <c r="E32" s="22">
        <f>WORKDAY(D32,C32-1,Festivos!$A$2:$A$20)</f>
        <v>46316</v>
      </c>
      <c r="F32" s="23" t="str">
        <f>"S"&amp;(INT((D32-($B$3-WEEKDAY($B$3)+1))/7)+1)</f>
        <v>S7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</row>
    <row r="33" spans="1:55" x14ac:dyDescent="0.25">
      <c r="A33" s="24" t="s">
        <v>48</v>
      </c>
      <c r="B33" s="25"/>
      <c r="C33" s="25">
        <v>0</v>
      </c>
      <c r="D33" s="22">
        <f>MAX(E30:E32)</f>
        <v>46316</v>
      </c>
      <c r="E33" s="22">
        <f>D33</f>
        <v>46316</v>
      </c>
      <c r="F33" s="26" t="str">
        <f>"S"&amp;(INT((D33-($B$3-WEEKDAY($B$3)+1))/7)+1)</f>
        <v>S7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</row>
    <row r="34" spans="1:55" x14ac:dyDescent="0.25">
      <c r="A34" s="14" t="s">
        <v>49</v>
      </c>
      <c r="B34" s="27" t="s">
        <v>50</v>
      </c>
      <c r="C34" s="16"/>
      <c r="D34" s="17"/>
      <c r="E34" s="17"/>
      <c r="F34" s="16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</row>
    <row r="35" spans="1:55" x14ac:dyDescent="0.25">
      <c r="A35" s="19" t="s">
        <v>51</v>
      </c>
      <c r="B35" s="20" t="s">
        <v>52</v>
      </c>
      <c r="C35" s="21">
        <v>2</v>
      </c>
      <c r="D35" s="22">
        <f>WORKDAY(E33,1,Festivos!$A$2:$A$20)</f>
        <v>46317</v>
      </c>
      <c r="E35" s="22">
        <f>WORKDAY(D35,C35-1,Festivos!$A$2:$A$20)</f>
        <v>46318</v>
      </c>
      <c r="F35" s="23" t="str">
        <f>"S"&amp;(INT((D35-($B$3-WEEKDAY($B$3)+1))/7)+1)</f>
        <v>S7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</row>
    <row r="36" spans="1:55" x14ac:dyDescent="0.25">
      <c r="A36" s="19" t="s">
        <v>53</v>
      </c>
      <c r="B36" s="20" t="s">
        <v>54</v>
      </c>
      <c r="C36" s="21">
        <v>1</v>
      </c>
      <c r="D36" s="22">
        <f>WORKDAY(E35,1,Festivos!$A$2:$A$20)</f>
        <v>46321</v>
      </c>
      <c r="E36" s="22">
        <f>WORKDAY(D36,C36-1,Festivos!$A$2:$A$20)</f>
        <v>46321</v>
      </c>
      <c r="F36" s="23" t="str">
        <f>"S"&amp;(INT((D36-($B$3-WEEKDAY($B$3)+1))/7)+1)</f>
        <v>S8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</row>
    <row r="37" spans="1:55" x14ac:dyDescent="0.25">
      <c r="A37" s="19" t="s">
        <v>55</v>
      </c>
      <c r="B37" s="20" t="s">
        <v>56</v>
      </c>
      <c r="C37" s="21">
        <v>1</v>
      </c>
      <c r="D37" s="22">
        <f>WORKDAY(E36,1,Festivos!$A$2:$A$20)</f>
        <v>46322</v>
      </c>
      <c r="E37" s="22">
        <f>WORKDAY(D37,C37-1,Festivos!$A$2:$A$20)</f>
        <v>46322</v>
      </c>
      <c r="F37" s="23" t="str">
        <f>"S"&amp;(INT((D37-($B$3-WEEKDAY($B$3)+1))/7)+1)</f>
        <v>S8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</row>
    <row r="38" spans="1:55" x14ac:dyDescent="0.25">
      <c r="A38" s="24" t="s">
        <v>57</v>
      </c>
      <c r="B38" s="25"/>
      <c r="C38" s="25">
        <v>0</v>
      </c>
      <c r="D38" s="22">
        <f>MAX(E35:E37)</f>
        <v>46322</v>
      </c>
      <c r="E38" s="22">
        <f>D38</f>
        <v>46322</v>
      </c>
      <c r="F38" s="26" t="str">
        <f>"S"&amp;(INT((D38-($B$3-WEEKDAY($B$3)+1))/7)+1)</f>
        <v>S8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</row>
    <row r="39" spans="1:55" x14ac:dyDescent="0.25">
      <c r="A39" s="14" t="s">
        <v>58</v>
      </c>
      <c r="B39" s="27" t="s">
        <v>59</v>
      </c>
      <c r="C39" s="16"/>
      <c r="D39" s="17"/>
      <c r="E39" s="17"/>
      <c r="F39" s="16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</row>
    <row r="40" spans="1:55" x14ac:dyDescent="0.25">
      <c r="A40" s="19" t="s">
        <v>60</v>
      </c>
      <c r="B40" s="20" t="s">
        <v>61</v>
      </c>
      <c r="C40" s="21">
        <v>1</v>
      </c>
      <c r="D40" s="22">
        <f>WORKDAY(E38,1,Festivos!$A$2:$A$20)</f>
        <v>46323</v>
      </c>
      <c r="E40" s="22">
        <f>WORKDAY(D40,C40-1,Festivos!$A$2:$A$20)</f>
        <v>46323</v>
      </c>
      <c r="F40" s="23" t="str">
        <f>"S"&amp;(INT((D40-($B$3-WEEKDAY($B$3)+1))/7)+1)</f>
        <v>S8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</row>
    <row r="41" spans="1:55" x14ac:dyDescent="0.25">
      <c r="A41" s="19" t="s">
        <v>62</v>
      </c>
      <c r="B41" s="20" t="s">
        <v>63</v>
      </c>
      <c r="C41" s="21">
        <v>1</v>
      </c>
      <c r="D41" s="22">
        <f>WORKDAY(E40,1,Festivos!$A$2:$A$20)</f>
        <v>46324</v>
      </c>
      <c r="E41" s="22">
        <f>WORKDAY(D41,C41-1,Festivos!$A$2:$A$20)</f>
        <v>46324</v>
      </c>
      <c r="F41" s="23" t="str">
        <f>"S"&amp;(INT((D41-($B$3-WEEKDAY($B$3)+1))/7)+1)</f>
        <v>S8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</row>
    <row r="42" spans="1:55" x14ac:dyDescent="0.25">
      <c r="A42" s="19" t="s">
        <v>64</v>
      </c>
      <c r="B42" s="20" t="s">
        <v>65</v>
      </c>
      <c r="C42" s="21">
        <v>1</v>
      </c>
      <c r="D42" s="22">
        <f>WORKDAY(E41,1,Festivos!$A$2:$A$20)</f>
        <v>46325</v>
      </c>
      <c r="E42" s="22">
        <f>WORKDAY(D42,C42-1,Festivos!$A$2:$A$20)</f>
        <v>46325</v>
      </c>
      <c r="F42" s="23" t="str">
        <f>"S"&amp;(INT((D42-($B$3-WEEKDAY($B$3)+1))/7)+1)</f>
        <v>S8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</row>
    <row r="43" spans="1:55" x14ac:dyDescent="0.25">
      <c r="A43" s="24" t="s">
        <v>66</v>
      </c>
      <c r="B43" s="25"/>
      <c r="C43" s="25">
        <v>0</v>
      </c>
      <c r="D43" s="22">
        <f>MAX(E40:E42)</f>
        <v>46325</v>
      </c>
      <c r="E43" s="22">
        <f>D43</f>
        <v>46325</v>
      </c>
      <c r="F43" s="26" t="str">
        <f>"S"&amp;(INT((D43-($B$3-WEEKDAY($B$3)+1))/7)+1)</f>
        <v>S8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</row>
    <row r="44" spans="1:55" x14ac:dyDescent="0.25">
      <c r="A44" s="14" t="s">
        <v>67</v>
      </c>
      <c r="B44" s="27" t="s">
        <v>68</v>
      </c>
      <c r="C44" s="16"/>
      <c r="D44" s="17"/>
      <c r="E44" s="17"/>
      <c r="F44" s="16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</row>
    <row r="45" spans="1:55" x14ac:dyDescent="0.25">
      <c r="A45" s="19" t="s">
        <v>69</v>
      </c>
      <c r="B45" s="20" t="s">
        <v>70</v>
      </c>
      <c r="C45" s="21">
        <v>1</v>
      </c>
      <c r="D45" s="22">
        <f>WORKDAY(E43,1,Festivos!$A$2:$A$20)</f>
        <v>46329</v>
      </c>
      <c r="E45" s="22">
        <f>WORKDAY(D45,C45-1,Festivos!$A$2:$A$20)</f>
        <v>46329</v>
      </c>
      <c r="F45" s="23" t="str">
        <f>"S"&amp;(INT((D45-($B$3-WEEKDAY($B$3)+1))/7)+1)</f>
        <v>S9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</row>
    <row r="46" spans="1:55" x14ac:dyDescent="0.25">
      <c r="A46" s="19" t="s">
        <v>71</v>
      </c>
      <c r="B46" s="20" t="s">
        <v>72</v>
      </c>
      <c r="C46" s="21">
        <v>1</v>
      </c>
      <c r="D46" s="22">
        <f>D45</f>
        <v>46329</v>
      </c>
      <c r="E46" s="22">
        <f>WORKDAY(D46,C46-1,Festivos!$A$2:$A$20)</f>
        <v>46329</v>
      </c>
      <c r="F46" s="23" t="str">
        <f>"S"&amp;(INT((D46-($B$3-WEEKDAY($B$3)+1))/7)+1)</f>
        <v>S9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</row>
    <row r="47" spans="1:55" x14ac:dyDescent="0.25">
      <c r="A47" s="19" t="s">
        <v>73</v>
      </c>
      <c r="B47" s="20" t="s">
        <v>74</v>
      </c>
      <c r="C47" s="21">
        <v>1</v>
      </c>
      <c r="D47" s="22">
        <f>WORKDAY(E46,1,Festivos!$A$2:$A$20)</f>
        <v>46330</v>
      </c>
      <c r="E47" s="22">
        <f>WORKDAY(D47,C47-1,Festivos!$A$2:$A$20)</f>
        <v>46330</v>
      </c>
      <c r="F47" s="23" t="str">
        <f>"S"&amp;(INT((D47-($B$3-WEEKDAY($B$3)+1))/7)+1)</f>
        <v>S9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</row>
    <row r="48" spans="1:55" x14ac:dyDescent="0.25">
      <c r="A48" s="19" t="s">
        <v>75</v>
      </c>
      <c r="B48" s="20"/>
      <c r="C48" s="21">
        <v>1</v>
      </c>
      <c r="D48" s="22">
        <f>WORKDAY(E47,1,Festivos!$A$2:$A$20)</f>
        <v>46331</v>
      </c>
      <c r="E48" s="22">
        <f>WORKDAY(D48,C48-1,Festivos!$A$2:$A$20)</f>
        <v>46331</v>
      </c>
      <c r="F48" s="23" t="str">
        <f>"S"&amp;(INT((D48-($B$3-WEEKDAY($B$3)+1))/7)+1)</f>
        <v>S9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</row>
    <row r="49" spans="1:55" x14ac:dyDescent="0.25">
      <c r="A49" s="24" t="s">
        <v>76</v>
      </c>
      <c r="B49" s="25"/>
      <c r="C49" s="25">
        <v>0</v>
      </c>
      <c r="D49" s="22">
        <f>MAX(E45:E48)</f>
        <v>46331</v>
      </c>
      <c r="E49" s="22">
        <f>D49</f>
        <v>46331</v>
      </c>
      <c r="F49" s="26" t="str">
        <f>"S"&amp;(INT((D49-($B$3-WEEKDAY($B$3)+1))/7)+1)</f>
        <v>S9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</row>
    <row r="50" spans="1:55" x14ac:dyDescent="0.25">
      <c r="A50" s="14" t="s">
        <v>77</v>
      </c>
      <c r="B50" s="15"/>
      <c r="C50" s="16"/>
      <c r="D50" s="17"/>
      <c r="E50" s="17"/>
      <c r="F50" s="16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</row>
    <row r="51" spans="1:55" x14ac:dyDescent="0.25">
      <c r="A51" s="19" t="s">
        <v>78</v>
      </c>
      <c r="B51" s="20"/>
      <c r="C51" s="21">
        <v>2</v>
      </c>
      <c r="D51" s="22">
        <f>WORKDAY(E49,1,Festivos!$A$2:$A$20)</f>
        <v>46332</v>
      </c>
      <c r="E51" s="22">
        <f>WORKDAY(D51,C51-1,Festivos!$A$2:$A$20)</f>
        <v>46335</v>
      </c>
      <c r="F51" s="23" t="str">
        <f>"S"&amp;(INT((D51-($B$3-WEEKDAY($B$3)+1))/7)+1)</f>
        <v>S9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</row>
    <row r="52" spans="1:55" x14ac:dyDescent="0.25">
      <c r="A52" s="19" t="s">
        <v>79</v>
      </c>
      <c r="B52" s="20"/>
      <c r="C52" s="21">
        <v>1</v>
      </c>
      <c r="D52" s="22">
        <f>WORKDAY(E51,1,Festivos!$A$2:$A$20)</f>
        <v>46336</v>
      </c>
      <c r="E52" s="22">
        <f>WORKDAY(D52,C52-1,Festivos!$A$2:$A$20)</f>
        <v>46336</v>
      </c>
      <c r="F52" s="23" t="str">
        <f>"S"&amp;(INT((D52-($B$3-WEEKDAY($B$3)+1))/7)+1)</f>
        <v>S10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</row>
    <row r="53" spans="1:55" x14ac:dyDescent="0.25">
      <c r="A53" s="19" t="s">
        <v>80</v>
      </c>
      <c r="B53" s="20"/>
      <c r="C53" s="21">
        <v>1</v>
      </c>
      <c r="D53" s="22">
        <f>D52</f>
        <v>46336</v>
      </c>
      <c r="E53" s="22">
        <f>WORKDAY(D53,C53-1,Festivos!$A$2:$A$20)</f>
        <v>46336</v>
      </c>
      <c r="F53" s="23" t="str">
        <f>"S"&amp;(INT((D53-($B$3-WEEKDAY($B$3)+1))/7)+1)</f>
        <v>S10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</row>
    <row r="54" spans="1:55" x14ac:dyDescent="0.25">
      <c r="A54" s="24" t="s">
        <v>81</v>
      </c>
      <c r="B54" s="25"/>
      <c r="C54" s="25">
        <v>0</v>
      </c>
      <c r="D54" s="22">
        <f>MAX(E51:E53)</f>
        <v>46336</v>
      </c>
      <c r="E54" s="22">
        <f>D54</f>
        <v>46336</v>
      </c>
      <c r="F54" s="26" t="str">
        <f>"S"&amp;(INT((D54-($B$3-WEEKDAY($B$3)+1))/7)+1)</f>
        <v>S10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</row>
    <row r="55" spans="1:55" x14ac:dyDescent="0.25">
      <c r="A55" s="14" t="s">
        <v>82</v>
      </c>
      <c r="B55" s="15"/>
      <c r="C55" s="16"/>
      <c r="D55" s="17"/>
      <c r="E55" s="17"/>
      <c r="F55" s="16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</row>
    <row r="56" spans="1:55" x14ac:dyDescent="0.25">
      <c r="A56" s="19" t="s">
        <v>83</v>
      </c>
      <c r="B56" s="20"/>
      <c r="C56" s="21">
        <v>1</v>
      </c>
      <c r="D56" s="22">
        <f>WORKDAY(E54,1,Festivos!$A$2:$A$20)</f>
        <v>46337</v>
      </c>
      <c r="E56" s="22">
        <f>WORKDAY(D56,C56-1,Festivos!$A$2:$A$20)</f>
        <v>46337</v>
      </c>
      <c r="F56" s="23" t="str">
        <f>"S"&amp;(INT((D56-($B$3-WEEKDAY($B$3)+1))/7)+1)</f>
        <v>S10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</row>
    <row r="57" spans="1:55" x14ac:dyDescent="0.25">
      <c r="A57" s="19" t="s">
        <v>84</v>
      </c>
      <c r="B57" s="20"/>
      <c r="C57" s="21">
        <v>2</v>
      </c>
      <c r="D57" s="22">
        <f>WORKDAY(E56,1,Festivos!$A$2:$A$20)</f>
        <v>46338</v>
      </c>
      <c r="E57" s="22">
        <f>WORKDAY(D57,C57-1,Festivos!$A$2:$A$20)</f>
        <v>46339</v>
      </c>
      <c r="F57" s="23" t="str">
        <f>"S"&amp;(INT((D57-($B$3-WEEKDAY($B$3)+1))/7)+1)</f>
        <v>S10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</row>
    <row r="58" spans="1:55" x14ac:dyDescent="0.25">
      <c r="A58" s="19" t="s">
        <v>85</v>
      </c>
      <c r="B58" s="20"/>
      <c r="C58" s="21">
        <v>2</v>
      </c>
      <c r="D58" s="22">
        <f>D57</f>
        <v>46338</v>
      </c>
      <c r="E58" s="22">
        <f>WORKDAY(D58,C58-1,Festivos!$A$2:$A$20)</f>
        <v>46339</v>
      </c>
      <c r="F58" s="23" t="str">
        <f>"S"&amp;(INT((D58-($B$3-WEEKDAY($B$3)+1))/7)+1)</f>
        <v>S10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</row>
    <row r="59" spans="1:55" x14ac:dyDescent="0.25">
      <c r="A59" s="24" t="s">
        <v>86</v>
      </c>
      <c r="B59" s="25"/>
      <c r="C59" s="25">
        <v>0</v>
      </c>
      <c r="D59" s="22">
        <f>MAX(E56:E58)</f>
        <v>46339</v>
      </c>
      <c r="E59" s="22">
        <f>D59</f>
        <v>46339</v>
      </c>
      <c r="F59" s="26" t="str">
        <f>"S"&amp;(INT((D59-($B$3-WEEKDAY($B$3)+1))/7)+1)</f>
        <v>S10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</row>
    <row r="60" spans="1:55" x14ac:dyDescent="0.25">
      <c r="A60" s="14" t="s">
        <v>87</v>
      </c>
      <c r="B60" s="15"/>
      <c r="C60" s="16"/>
      <c r="D60" s="17"/>
      <c r="E60" s="17"/>
      <c r="F60" s="16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</row>
    <row r="61" spans="1:55" x14ac:dyDescent="0.25">
      <c r="A61" s="19" t="s">
        <v>88</v>
      </c>
      <c r="B61" s="20"/>
      <c r="C61" s="21">
        <v>1</v>
      </c>
      <c r="D61" s="22">
        <f>WORKDAY(E59,1,Festivos!$A$2:$A$20)</f>
        <v>46343</v>
      </c>
      <c r="E61" s="22">
        <f>WORKDAY(D61,C61-1,Festivos!$A$2:$A$20)</f>
        <v>46343</v>
      </c>
      <c r="F61" s="23" t="str">
        <f>"S"&amp;(INT((D61-($B$3-WEEKDAY($B$3)+1))/7)+1)</f>
        <v>S11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</row>
    <row r="62" spans="1:55" x14ac:dyDescent="0.25">
      <c r="A62" s="19" t="s">
        <v>89</v>
      </c>
      <c r="B62" s="20"/>
      <c r="C62" s="21">
        <v>1</v>
      </c>
      <c r="D62" s="22">
        <f>D61</f>
        <v>46343</v>
      </c>
      <c r="E62" s="22">
        <f>WORKDAY(D62,C62-1,Festivos!$A$2:$A$20)</f>
        <v>46343</v>
      </c>
      <c r="F62" s="23" t="str">
        <f>"S"&amp;(INT((D62-($B$3-WEEKDAY($B$3)+1))/7)+1)</f>
        <v>S11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</row>
    <row r="63" spans="1:55" x14ac:dyDescent="0.25">
      <c r="A63" s="24" t="s">
        <v>90</v>
      </c>
      <c r="B63" s="25"/>
      <c r="C63" s="25">
        <v>0</v>
      </c>
      <c r="D63" s="22">
        <f>MAX(E61:E62)</f>
        <v>46343</v>
      </c>
      <c r="E63" s="22">
        <f>D63</f>
        <v>46343</v>
      </c>
      <c r="F63" s="26" t="str">
        <f>"S"&amp;(INT((D63-($B$3-WEEKDAY($B$3)+1))/7)+1)</f>
        <v>S11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</row>
    <row r="64" spans="1:55" x14ac:dyDescent="0.25">
      <c r="A64" s="14" t="s">
        <v>91</v>
      </c>
      <c r="B64" s="15"/>
      <c r="C64" s="16"/>
      <c r="D64" s="17"/>
      <c r="E64" s="17"/>
      <c r="F64" s="16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</row>
    <row r="65" spans="1:55" x14ac:dyDescent="0.25">
      <c r="A65" s="19" t="s">
        <v>92</v>
      </c>
      <c r="B65" s="25"/>
      <c r="C65" s="25">
        <f>NETWORKDAYS(D65,E65,Festivos!$A$2:$A$20)</f>
        <v>49</v>
      </c>
      <c r="D65" s="22">
        <f>D9</f>
        <v>46272</v>
      </c>
      <c r="E65" s="22">
        <f>E68</f>
        <v>46343</v>
      </c>
      <c r="F65" s="2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</row>
    <row r="66" spans="1:55" x14ac:dyDescent="0.25">
      <c r="A66" s="19" t="s">
        <v>93</v>
      </c>
      <c r="B66" s="25"/>
      <c r="C66" s="29" t="s">
        <v>94</v>
      </c>
      <c r="D66" s="22">
        <f>D9</f>
        <v>46272</v>
      </c>
      <c r="E66" s="22">
        <f>E68</f>
        <v>46343</v>
      </c>
      <c r="F66" s="2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</row>
    <row r="67" spans="1:55" x14ac:dyDescent="0.25">
      <c r="A67" s="14" t="s">
        <v>95</v>
      </c>
      <c r="B67" s="15"/>
      <c r="C67" s="16"/>
      <c r="D67" s="17"/>
      <c r="E67" s="17"/>
      <c r="F67" s="1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</row>
    <row r="68" spans="1:55" x14ac:dyDescent="0.25">
      <c r="A68" s="30" t="s">
        <v>96</v>
      </c>
      <c r="B68" s="25"/>
      <c r="C68" s="25">
        <v>0</v>
      </c>
      <c r="D68" s="22">
        <f>E63</f>
        <v>46343</v>
      </c>
      <c r="E68" s="22">
        <f>D68</f>
        <v>46343</v>
      </c>
      <c r="F68" s="2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</row>
  </sheetData>
  <mergeCells count="8">
    <mergeCell ref="A1:BC1"/>
    <mergeCell ref="B3:C3"/>
    <mergeCell ref="A6:A7"/>
    <mergeCell ref="B6:B7"/>
    <mergeCell ref="C6:C7"/>
    <mergeCell ref="D6:D7"/>
    <mergeCell ref="E6:E7"/>
    <mergeCell ref="F6:F7"/>
  </mergeCells>
  <conditionalFormatting sqref="G9:BC12">
    <cfRule type="expression" dxfId="25" priority="2">
      <formula>AND(G$6&gt;=$D9,G$6&lt;=$E9)</formula>
    </cfRule>
  </conditionalFormatting>
  <conditionalFormatting sqref="G13:BC13">
    <cfRule type="expression" dxfId="24" priority="6">
      <formula>G$6=$D13</formula>
    </cfRule>
  </conditionalFormatting>
  <conditionalFormatting sqref="G15:BC19">
    <cfRule type="expression" dxfId="23" priority="7">
      <formula>AND(G$6&gt;=$D15,G$6&lt;=$E15)</formula>
    </cfRule>
  </conditionalFormatting>
  <conditionalFormatting sqref="G20:BC20">
    <cfRule type="expression" dxfId="22" priority="12">
      <formula>G$6=$D20</formula>
    </cfRule>
  </conditionalFormatting>
  <conditionalFormatting sqref="G22:BC27">
    <cfRule type="expression" dxfId="21" priority="13">
      <formula>AND(G$6&gt;=$D22,G$6&lt;=$E22)</formula>
    </cfRule>
  </conditionalFormatting>
  <conditionalFormatting sqref="G28:BC28">
    <cfRule type="expression" dxfId="20" priority="19">
      <formula>G$6=$D28</formula>
    </cfRule>
  </conditionalFormatting>
  <conditionalFormatting sqref="G30:BC32">
    <cfRule type="expression" dxfId="19" priority="20">
      <formula>AND(G$6&gt;=$D30,G$6&lt;=$E30)</formula>
    </cfRule>
  </conditionalFormatting>
  <conditionalFormatting sqref="G33:BC33">
    <cfRule type="expression" dxfId="18" priority="23">
      <formula>G$6=$D33</formula>
    </cfRule>
  </conditionalFormatting>
  <conditionalFormatting sqref="G35:BC37">
    <cfRule type="expression" dxfId="17" priority="24">
      <formula>AND(G$6&gt;=$D35,G$6&lt;=$E35)</formula>
    </cfRule>
  </conditionalFormatting>
  <conditionalFormatting sqref="G38:BC38">
    <cfRule type="expression" dxfId="16" priority="27">
      <formula>G$6=$D38</formula>
    </cfRule>
  </conditionalFormatting>
  <conditionalFormatting sqref="G40:BC42">
    <cfRule type="expression" dxfId="15" priority="28">
      <formula>AND(G$6&gt;=$D40,G$6&lt;=$E40)</formula>
    </cfRule>
  </conditionalFormatting>
  <conditionalFormatting sqref="G43:BC43">
    <cfRule type="expression" dxfId="14" priority="31">
      <formula>G$6=$D43</formula>
    </cfRule>
  </conditionalFormatting>
  <conditionalFormatting sqref="G45:BC48">
    <cfRule type="expression" dxfId="13" priority="32">
      <formula>AND(G$6&gt;=$D45,G$6&lt;=$E45)</formula>
    </cfRule>
  </conditionalFormatting>
  <conditionalFormatting sqref="G49:BC49">
    <cfRule type="expression" dxfId="12" priority="36">
      <formula>G$6=$D49</formula>
    </cfRule>
  </conditionalFormatting>
  <conditionalFormatting sqref="G51:BC53">
    <cfRule type="expression" dxfId="11" priority="37">
      <formula>AND(G$6&gt;=$D51,G$6&lt;=$E51)</formula>
    </cfRule>
  </conditionalFormatting>
  <conditionalFormatting sqref="G54:BC54">
    <cfRule type="expression" dxfId="10" priority="40">
      <formula>G$6=$D54</formula>
    </cfRule>
  </conditionalFormatting>
  <conditionalFormatting sqref="G56:BC58">
    <cfRule type="expression" dxfId="9" priority="41">
      <formula>AND(G$6&gt;=$D56,G$6&lt;=$E56)</formula>
    </cfRule>
  </conditionalFormatting>
  <conditionalFormatting sqref="G59:BC59">
    <cfRule type="expression" dxfId="8" priority="44">
      <formula>G$6=$D59</formula>
    </cfRule>
  </conditionalFormatting>
  <conditionalFormatting sqref="G61:BC62">
    <cfRule type="expression" dxfId="7" priority="45">
      <formula>AND(G$6&gt;=$D61,G$6&lt;=$E61)</formula>
    </cfRule>
  </conditionalFormatting>
  <conditionalFormatting sqref="G63:BC63">
    <cfRule type="expression" dxfId="6" priority="47">
      <formula>G$6=$D63</formula>
    </cfRule>
  </conditionalFormatting>
  <conditionalFormatting sqref="G65:BC65">
    <cfRule type="expression" dxfId="5" priority="48">
      <formula>AND(G$6&gt;=$D65,G$6&lt;=$E65)</formula>
    </cfRule>
  </conditionalFormatting>
  <conditionalFormatting sqref="G66:BC66">
    <cfRule type="expression" dxfId="4" priority="49">
      <formula>AND(WEEKDAY(G$6)=6,G$6&gt;=$D66,G$6&lt;=$E66)</formula>
    </cfRule>
  </conditionalFormatting>
  <conditionalFormatting sqref="G68:BC68">
    <cfRule type="expression" dxfId="3" priority="50">
      <formula>G$6=$D68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4"/>
  <sheetViews>
    <sheetView showGridLines="0" zoomScaleNormal="100" workbookViewId="0">
      <selection activeCell="B16" sqref="B16"/>
    </sheetView>
  </sheetViews>
  <sheetFormatPr baseColWidth="10" defaultColWidth="8.7109375" defaultRowHeight="15" x14ac:dyDescent="0.25"/>
  <cols>
    <col min="1" max="1" width="5" customWidth="1"/>
    <col min="2" max="2" width="45" customWidth="1"/>
    <col min="3" max="3" width="65" customWidth="1"/>
    <col min="4" max="4" width="18" customWidth="1"/>
    <col min="5" max="5" width="12" customWidth="1"/>
  </cols>
  <sheetData>
    <row r="1" spans="1:5" ht="25.5" customHeight="1" x14ac:dyDescent="0.25">
      <c r="A1" s="3" t="s">
        <v>97</v>
      </c>
      <c r="B1" s="3"/>
      <c r="C1" s="3"/>
      <c r="D1" s="3"/>
      <c r="E1" s="3"/>
    </row>
    <row r="2" spans="1:5" x14ac:dyDescent="0.25">
      <c r="A2" s="7"/>
    </row>
    <row r="4" spans="1:5" x14ac:dyDescent="0.25">
      <c r="A4" s="31" t="s">
        <v>98</v>
      </c>
      <c r="B4" s="31" t="s">
        <v>99</v>
      </c>
      <c r="C4" s="31" t="s">
        <v>100</v>
      </c>
      <c r="D4" s="31" t="s">
        <v>101</v>
      </c>
      <c r="E4" s="31" t="s">
        <v>7</v>
      </c>
    </row>
    <row r="5" spans="1:5" ht="41.25" customHeight="1" x14ac:dyDescent="0.25">
      <c r="A5" s="32">
        <v>1</v>
      </c>
      <c r="B5" s="57" t="s">
        <v>102</v>
      </c>
      <c r="C5" s="34" t="s">
        <v>103</v>
      </c>
      <c r="D5" s="34" t="s">
        <v>104</v>
      </c>
      <c r="E5" s="34" t="s">
        <v>105</v>
      </c>
    </row>
    <row r="6" spans="1:5" ht="41.25" customHeight="1" x14ac:dyDescent="0.25">
      <c r="A6" s="35">
        <v>2</v>
      </c>
      <c r="B6" s="58" t="s">
        <v>106</v>
      </c>
      <c r="C6" s="37" t="s">
        <v>107</v>
      </c>
      <c r="D6" s="37" t="s">
        <v>108</v>
      </c>
      <c r="E6" s="37" t="s">
        <v>109</v>
      </c>
    </row>
    <row r="7" spans="1:5" ht="28.5" customHeight="1" x14ac:dyDescent="0.25">
      <c r="A7" s="32">
        <v>3</v>
      </c>
      <c r="B7" s="57" t="s">
        <v>110</v>
      </c>
      <c r="C7" s="34" t="s">
        <v>111</v>
      </c>
      <c r="D7" s="34" t="s">
        <v>112</v>
      </c>
      <c r="E7" s="34" t="s">
        <v>113</v>
      </c>
    </row>
    <row r="8" spans="1:5" ht="28.5" customHeight="1" x14ac:dyDescent="0.25">
      <c r="A8" s="35">
        <v>4</v>
      </c>
      <c r="B8" s="58" t="s">
        <v>114</v>
      </c>
      <c r="C8" s="37" t="s">
        <v>115</v>
      </c>
      <c r="D8" s="37" t="s">
        <v>116</v>
      </c>
      <c r="E8" s="37" t="s">
        <v>117</v>
      </c>
    </row>
    <row r="9" spans="1:5" ht="41.25" customHeight="1" x14ac:dyDescent="0.25">
      <c r="A9" s="32">
        <v>5</v>
      </c>
      <c r="B9" s="57" t="s">
        <v>118</v>
      </c>
      <c r="C9" s="34" t="s">
        <v>119</v>
      </c>
      <c r="D9" s="34" t="s">
        <v>120</v>
      </c>
      <c r="E9" s="34" t="s">
        <v>121</v>
      </c>
    </row>
    <row r="10" spans="1:5" ht="41.25" customHeight="1" x14ac:dyDescent="0.25">
      <c r="A10" s="35">
        <v>6</v>
      </c>
      <c r="B10" s="58" t="s">
        <v>122</v>
      </c>
      <c r="C10" s="37" t="s">
        <v>123</v>
      </c>
      <c r="D10" s="37" t="s">
        <v>124</v>
      </c>
      <c r="E10" s="37" t="s">
        <v>125</v>
      </c>
    </row>
    <row r="11" spans="1:5" ht="36" x14ac:dyDescent="0.25">
      <c r="A11" s="32">
        <v>7</v>
      </c>
      <c r="B11" s="57" t="s">
        <v>126</v>
      </c>
      <c r="C11" s="34" t="s">
        <v>127</v>
      </c>
      <c r="D11" s="34" t="s">
        <v>128</v>
      </c>
      <c r="E11" s="34" t="s">
        <v>129</v>
      </c>
    </row>
    <row r="12" spans="1:5" ht="28.5" customHeight="1" x14ac:dyDescent="0.25">
      <c r="A12" s="35">
        <v>8</v>
      </c>
      <c r="B12" s="58" t="s">
        <v>130</v>
      </c>
      <c r="C12" s="37" t="s">
        <v>131</v>
      </c>
      <c r="D12" s="37" t="s">
        <v>132</v>
      </c>
      <c r="E12" s="37" t="s">
        <v>133</v>
      </c>
    </row>
    <row r="13" spans="1:5" ht="28.5" customHeight="1" x14ac:dyDescent="0.25">
      <c r="A13" s="32">
        <v>9</v>
      </c>
      <c r="B13" s="57" t="s">
        <v>134</v>
      </c>
      <c r="C13" s="34" t="s">
        <v>135</v>
      </c>
      <c r="D13" s="34" t="s">
        <v>136</v>
      </c>
      <c r="E13" s="34" t="s">
        <v>113</v>
      </c>
    </row>
    <row r="14" spans="1:5" ht="28.5" customHeight="1" x14ac:dyDescent="0.25">
      <c r="A14" s="35">
        <v>10</v>
      </c>
      <c r="B14" s="58" t="s">
        <v>137</v>
      </c>
      <c r="C14" s="37" t="s">
        <v>138</v>
      </c>
      <c r="D14" s="37" t="s">
        <v>139</v>
      </c>
      <c r="E14" s="37" t="s">
        <v>129</v>
      </c>
    </row>
  </sheetData>
  <mergeCells count="1">
    <mergeCell ref="A1:E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6" sqref="F6"/>
    </sheetView>
  </sheetViews>
  <sheetFormatPr baseColWidth="10" defaultColWidth="8.7109375" defaultRowHeight="15" x14ac:dyDescent="0.25"/>
  <cols>
    <col min="1" max="1" width="10" customWidth="1"/>
    <col min="2" max="3" width="11" customWidth="1"/>
    <col min="4" max="4" width="24" customWidth="1"/>
    <col min="5" max="5" width="34" customWidth="1"/>
    <col min="6" max="6" width="70" customWidth="1"/>
    <col min="7" max="7" width="34" customWidth="1"/>
    <col min="8" max="8" width="13" customWidth="1"/>
    <col min="9" max="9" width="15" customWidth="1"/>
  </cols>
  <sheetData>
    <row r="1" spans="1:9" ht="25.5" customHeight="1" x14ac:dyDescent="0.25">
      <c r="A1" s="43" t="s">
        <v>140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44"/>
      <c r="B2" s="45"/>
      <c r="C2" s="45"/>
      <c r="D2" s="45"/>
      <c r="E2" s="45"/>
      <c r="F2" s="45"/>
      <c r="G2" s="45"/>
      <c r="H2" s="45"/>
      <c r="I2" s="45"/>
    </row>
    <row r="3" spans="1:9" x14ac:dyDescent="0.25">
      <c r="A3" s="45"/>
      <c r="B3" s="45"/>
      <c r="C3" s="45"/>
      <c r="D3" s="45"/>
      <c r="E3" s="45"/>
      <c r="F3" s="45"/>
      <c r="G3" s="45"/>
      <c r="H3" s="45"/>
      <c r="I3" s="45"/>
    </row>
    <row r="4" spans="1:9" ht="30" x14ac:dyDescent="0.25">
      <c r="A4" s="31" t="s">
        <v>7</v>
      </c>
      <c r="B4" s="31" t="s">
        <v>141</v>
      </c>
      <c r="C4" s="31" t="s">
        <v>142</v>
      </c>
      <c r="D4" s="31" t="s">
        <v>143</v>
      </c>
      <c r="E4" s="31" t="s">
        <v>144</v>
      </c>
      <c r="F4" s="31" t="s">
        <v>145</v>
      </c>
      <c r="G4" s="31" t="s">
        <v>146</v>
      </c>
      <c r="H4" s="31" t="s">
        <v>147</v>
      </c>
      <c r="I4" s="31" t="s">
        <v>148</v>
      </c>
    </row>
    <row r="5" spans="1:9" ht="116.25" customHeight="1" x14ac:dyDescent="0.25">
      <c r="A5" s="46" t="s">
        <v>149</v>
      </c>
      <c r="B5" s="47">
        <f>MAX((Cronograma!$B$3-WEEKDAY(Cronograma!$B$3)+1)+0,Cronograma!$B$3)</f>
        <v>46272</v>
      </c>
      <c r="C5" s="47">
        <f>MIN((Cronograma!$B$3-WEEKDAY(Cronograma!$B$3)+1)+6,Cronograma!$D$68)</f>
        <v>46277</v>
      </c>
      <c r="D5" s="48" t="s">
        <v>150</v>
      </c>
      <c r="E5" s="49" t="s">
        <v>151</v>
      </c>
      <c r="F5" s="49" t="s">
        <v>152</v>
      </c>
      <c r="G5" s="49" t="s">
        <v>153</v>
      </c>
      <c r="H5" s="50" t="s">
        <v>154</v>
      </c>
      <c r="I5" s="41" t="s">
        <v>155</v>
      </c>
    </row>
    <row r="6" spans="1:9" ht="91.5" customHeight="1" x14ac:dyDescent="0.25">
      <c r="A6" s="51" t="s">
        <v>156</v>
      </c>
      <c r="B6" s="52">
        <f>MAX((Cronograma!$B$3-WEEKDAY(Cronograma!$B$3)+1)+7,Cronograma!$B$3)</f>
        <v>46278</v>
      </c>
      <c r="C6" s="52">
        <f>MIN((Cronograma!$B$3-WEEKDAY(Cronograma!$B$3)+1)+13,Cronograma!$D$68)</f>
        <v>46284</v>
      </c>
      <c r="D6" s="53" t="s">
        <v>157</v>
      </c>
      <c r="E6" s="54" t="s">
        <v>11</v>
      </c>
      <c r="F6" s="54" t="s">
        <v>158</v>
      </c>
      <c r="G6" s="54" t="s">
        <v>159</v>
      </c>
      <c r="H6" s="50" t="s">
        <v>160</v>
      </c>
      <c r="I6" s="42" t="s">
        <v>155</v>
      </c>
    </row>
    <row r="7" spans="1:9" ht="78.75" customHeight="1" x14ac:dyDescent="0.25">
      <c r="A7" s="46" t="s">
        <v>161</v>
      </c>
      <c r="B7" s="47">
        <f>MAX((Cronograma!$B$3-WEEKDAY(Cronograma!$B$3)+1)+14,Cronograma!$B$3)</f>
        <v>46285</v>
      </c>
      <c r="C7" s="47">
        <f>MIN((Cronograma!$B$3-WEEKDAY(Cronograma!$B$3)+1)+20,Cronograma!$D$68)</f>
        <v>46291</v>
      </c>
      <c r="D7" s="48" t="s">
        <v>162</v>
      </c>
      <c r="E7" s="49" t="s">
        <v>12</v>
      </c>
      <c r="F7" s="49" t="s">
        <v>163</v>
      </c>
      <c r="G7" s="49" t="s">
        <v>164</v>
      </c>
      <c r="H7" s="50" t="s">
        <v>160</v>
      </c>
      <c r="I7" s="41" t="s">
        <v>155</v>
      </c>
    </row>
    <row r="8" spans="1:9" ht="91.5" customHeight="1" x14ac:dyDescent="0.25">
      <c r="A8" s="51" t="s">
        <v>165</v>
      </c>
      <c r="B8" s="52">
        <f>MAX((Cronograma!$B$3-WEEKDAY(Cronograma!$B$3)+1)+21,Cronograma!$B$3)</f>
        <v>46292</v>
      </c>
      <c r="C8" s="52">
        <f>MIN((Cronograma!$B$3-WEEKDAY(Cronograma!$B$3)+1)+27,Cronograma!$D$68)</f>
        <v>46298</v>
      </c>
      <c r="D8" s="53" t="s">
        <v>166</v>
      </c>
      <c r="E8" s="54" t="s">
        <v>167</v>
      </c>
      <c r="F8" s="54" t="s">
        <v>168</v>
      </c>
      <c r="G8" s="54" t="s">
        <v>169</v>
      </c>
      <c r="H8" s="50" t="s">
        <v>170</v>
      </c>
      <c r="I8" s="42" t="s">
        <v>155</v>
      </c>
    </row>
    <row r="9" spans="1:9" ht="78.75" customHeight="1" x14ac:dyDescent="0.25">
      <c r="A9" s="46" t="s">
        <v>171</v>
      </c>
      <c r="B9" s="47">
        <f>MAX((Cronograma!$B$3-WEEKDAY(Cronograma!$B$3)+1)+28,Cronograma!$B$3)</f>
        <v>46299</v>
      </c>
      <c r="C9" s="47">
        <f>MIN((Cronograma!$B$3-WEEKDAY(Cronograma!$B$3)+1)+34,Cronograma!$D$68)</f>
        <v>46305</v>
      </c>
      <c r="D9" s="48" t="s">
        <v>172</v>
      </c>
      <c r="E9" s="49" t="s">
        <v>173</v>
      </c>
      <c r="F9" s="49" t="s">
        <v>174</v>
      </c>
      <c r="G9" s="49" t="s">
        <v>175</v>
      </c>
      <c r="H9" s="50" t="s">
        <v>170</v>
      </c>
      <c r="I9" s="41" t="s">
        <v>155</v>
      </c>
    </row>
    <row r="10" spans="1:9" ht="66" customHeight="1" x14ac:dyDescent="0.25">
      <c r="A10" s="51" t="s">
        <v>176</v>
      </c>
      <c r="B10" s="52">
        <f>MAX((Cronograma!$B$3-WEEKDAY(Cronograma!$B$3)+1)+35,Cronograma!$B$3)</f>
        <v>46306</v>
      </c>
      <c r="C10" s="52">
        <f>MIN((Cronograma!$B$3-WEEKDAY(Cronograma!$B$3)+1)+41,Cronograma!$D$68)</f>
        <v>46312</v>
      </c>
      <c r="D10" s="53" t="s">
        <v>177</v>
      </c>
      <c r="E10" s="54" t="s">
        <v>178</v>
      </c>
      <c r="F10" s="54" t="s">
        <v>179</v>
      </c>
      <c r="G10" s="54" t="s">
        <v>180</v>
      </c>
      <c r="H10" s="50" t="s">
        <v>170</v>
      </c>
      <c r="I10" s="42" t="s">
        <v>155</v>
      </c>
    </row>
    <row r="11" spans="1:9" ht="78.75" customHeight="1" x14ac:dyDescent="0.25">
      <c r="A11" s="46" t="s">
        <v>181</v>
      </c>
      <c r="B11" s="47">
        <f>MAX((Cronograma!$B$3-WEEKDAY(Cronograma!$B$3)+1)+42,Cronograma!$B$3)</f>
        <v>46313</v>
      </c>
      <c r="C11" s="47">
        <f>MIN((Cronograma!$B$3-WEEKDAY(Cronograma!$B$3)+1)+48,Cronograma!$D$68)</f>
        <v>46319</v>
      </c>
      <c r="D11" s="48" t="s">
        <v>182</v>
      </c>
      <c r="E11" s="49" t="s">
        <v>183</v>
      </c>
      <c r="F11" s="49" t="s">
        <v>184</v>
      </c>
      <c r="G11" s="49" t="s">
        <v>185</v>
      </c>
      <c r="H11" s="50" t="s">
        <v>170</v>
      </c>
      <c r="I11" s="41" t="s">
        <v>155</v>
      </c>
    </row>
    <row r="12" spans="1:9" ht="91.5" customHeight="1" x14ac:dyDescent="0.25">
      <c r="A12" s="51" t="s">
        <v>186</v>
      </c>
      <c r="B12" s="52">
        <f>MAX((Cronograma!$B$3-WEEKDAY(Cronograma!$B$3)+1)+49,Cronograma!$B$3)</f>
        <v>46320</v>
      </c>
      <c r="C12" s="52">
        <f>MIN((Cronograma!$B$3-WEEKDAY(Cronograma!$B$3)+1)+55,Cronograma!$D$68)</f>
        <v>46326</v>
      </c>
      <c r="D12" s="53" t="s">
        <v>187</v>
      </c>
      <c r="E12" s="54" t="s">
        <v>188</v>
      </c>
      <c r="F12" s="54" t="s">
        <v>189</v>
      </c>
      <c r="G12" s="54" t="s">
        <v>190</v>
      </c>
      <c r="H12" s="50" t="s">
        <v>170</v>
      </c>
      <c r="I12" s="42" t="s">
        <v>155</v>
      </c>
    </row>
    <row r="13" spans="1:9" ht="66" customHeight="1" x14ac:dyDescent="0.25">
      <c r="A13" s="46" t="s">
        <v>191</v>
      </c>
      <c r="B13" s="47">
        <f>MAX((Cronograma!$B$3-WEEKDAY(Cronograma!$B$3)+1)+56,Cronograma!$B$3)</f>
        <v>46327</v>
      </c>
      <c r="C13" s="47">
        <f>MIN((Cronograma!$B$3-WEEKDAY(Cronograma!$B$3)+1)+62,Cronograma!$D$68)</f>
        <v>46333</v>
      </c>
      <c r="D13" s="48" t="s">
        <v>192</v>
      </c>
      <c r="E13" s="49" t="s">
        <v>193</v>
      </c>
      <c r="F13" s="49" t="s">
        <v>194</v>
      </c>
      <c r="G13" s="49" t="s">
        <v>195</v>
      </c>
      <c r="H13" s="50" t="s">
        <v>170</v>
      </c>
      <c r="I13" s="41" t="s">
        <v>155</v>
      </c>
    </row>
    <row r="14" spans="1:9" ht="66" customHeight="1" x14ac:dyDescent="0.25">
      <c r="A14" s="51" t="s">
        <v>196</v>
      </c>
      <c r="B14" s="52">
        <f>MAX((Cronograma!$B$3-WEEKDAY(Cronograma!$B$3)+1)+63,Cronograma!$B$3)</f>
        <v>46334</v>
      </c>
      <c r="C14" s="52">
        <f>MIN((Cronograma!$B$3-WEEKDAY(Cronograma!$B$3)+1)+69,Cronograma!$D$68)</f>
        <v>46340</v>
      </c>
      <c r="D14" s="53" t="s">
        <v>197</v>
      </c>
      <c r="E14" s="54" t="s">
        <v>198</v>
      </c>
      <c r="F14" s="54" t="s">
        <v>199</v>
      </c>
      <c r="G14" s="54" t="s">
        <v>200</v>
      </c>
      <c r="H14" s="50" t="s">
        <v>170</v>
      </c>
      <c r="I14" s="42" t="s">
        <v>155</v>
      </c>
    </row>
    <row r="15" spans="1:9" ht="54" customHeight="1" x14ac:dyDescent="0.25">
      <c r="A15" s="46" t="s">
        <v>201</v>
      </c>
      <c r="B15" s="47">
        <f>MAX((Cronograma!$B$3-WEEKDAY(Cronograma!$B$3)+1)+70,Cronograma!$B$3)</f>
        <v>46341</v>
      </c>
      <c r="C15" s="47">
        <f>MIN((Cronograma!$B$3-WEEKDAY(Cronograma!$B$3)+1)+76,Cronograma!$D$68)</f>
        <v>46343</v>
      </c>
      <c r="D15" s="48" t="s">
        <v>202</v>
      </c>
      <c r="E15" s="49" t="s">
        <v>203</v>
      </c>
      <c r="F15" s="49" t="s">
        <v>204</v>
      </c>
      <c r="G15" s="49" t="s">
        <v>205</v>
      </c>
      <c r="H15" s="50" t="s">
        <v>170</v>
      </c>
      <c r="I15" s="41" t="s">
        <v>155</v>
      </c>
    </row>
    <row r="16" spans="1:9" x14ac:dyDescent="0.25">
      <c r="A16" s="45"/>
      <c r="B16" s="45"/>
      <c r="C16" s="45"/>
      <c r="D16" s="45"/>
      <c r="E16" s="45"/>
      <c r="F16" s="45"/>
      <c r="G16" s="45"/>
      <c r="H16" s="45"/>
      <c r="I16" s="45"/>
    </row>
    <row r="17" spans="1:9" ht="15.75" x14ac:dyDescent="0.25">
      <c r="A17" s="55" t="s">
        <v>206</v>
      </c>
      <c r="B17" s="55"/>
      <c r="C17" s="55"/>
      <c r="D17" s="56">
        <f>COUNTIF(H5:H15,"Terminado")/COUNTA(H5:H15)</f>
        <v>9.0909090909090912E-2</v>
      </c>
      <c r="E17" s="45"/>
      <c r="F17" s="45"/>
      <c r="G17" s="45"/>
      <c r="H17" s="45"/>
      <c r="I17" s="45"/>
    </row>
  </sheetData>
  <mergeCells count="2">
    <mergeCell ref="A1:I1"/>
    <mergeCell ref="A17:C17"/>
  </mergeCells>
  <conditionalFormatting sqref="H5:H15">
    <cfRule type="expression" dxfId="2" priority="2">
      <formula>$H5="Terminado"</formula>
    </cfRule>
    <cfRule type="expression" dxfId="1" priority="3">
      <formula>$H5="En progreso"</formula>
    </cfRule>
    <cfRule type="expression" dxfId="0" priority="4">
      <formula>$H5="Pendiente"</formula>
    </cfRule>
  </conditionalFormatting>
  <dataValidations count="1">
    <dataValidation type="list" allowBlank="1" sqref="H5:H15" xr:uid="{00000000-0002-0000-0200-000000000000}">
      <formula1>"Pendiente,En progreso,Terminado"</formula1>
      <formula2>0</formula2>
    </dataValidation>
  </dataValidations>
  <hyperlinks>
    <hyperlink ref="I5" r:id="rId1" xr:uid="{00000000-0004-0000-0200-000000000000}"/>
    <hyperlink ref="I6" r:id="rId2" xr:uid="{00000000-0004-0000-0200-000001000000}"/>
    <hyperlink ref="I7" r:id="rId3" xr:uid="{00000000-0004-0000-0200-000002000000}"/>
    <hyperlink ref="I8" r:id="rId4" xr:uid="{00000000-0004-0000-0200-000003000000}"/>
    <hyperlink ref="I9" r:id="rId5" xr:uid="{00000000-0004-0000-0200-000004000000}"/>
    <hyperlink ref="I10" r:id="rId6" xr:uid="{00000000-0004-0000-0200-000005000000}"/>
    <hyperlink ref="I11" r:id="rId7" xr:uid="{00000000-0004-0000-0200-000006000000}"/>
    <hyperlink ref="I12" r:id="rId8" xr:uid="{00000000-0004-0000-0200-000007000000}"/>
    <hyperlink ref="I13" r:id="rId9" xr:uid="{00000000-0004-0000-0200-000008000000}"/>
    <hyperlink ref="I14" r:id="rId10" xr:uid="{00000000-0004-0000-0200-000009000000}"/>
    <hyperlink ref="I15" r:id="rId11" xr:uid="{00000000-0004-0000-0200-00000A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12"/>
  <sheetViews>
    <sheetView showGridLines="0" topLeftCell="A3" zoomScaleNormal="100" workbookViewId="0">
      <selection activeCell="E19" sqref="E19"/>
    </sheetView>
  </sheetViews>
  <sheetFormatPr baseColWidth="10" defaultColWidth="8.7109375" defaultRowHeight="15" x14ac:dyDescent="0.25"/>
  <cols>
    <col min="1" max="1" width="13" customWidth="1"/>
    <col min="2" max="2" width="20" customWidth="1"/>
    <col min="3" max="3" width="14" customWidth="1"/>
    <col min="4" max="4" width="11" customWidth="1"/>
    <col min="5" max="5" width="55" customWidth="1"/>
    <col min="6" max="6" width="34" customWidth="1"/>
    <col min="7" max="7" width="16" customWidth="1"/>
  </cols>
  <sheetData>
    <row r="1" spans="1:7" ht="25.5" customHeight="1" x14ac:dyDescent="0.25">
      <c r="A1" s="3" t="s">
        <v>423</v>
      </c>
      <c r="B1" s="3"/>
      <c r="C1" s="3"/>
      <c r="D1" s="3"/>
      <c r="E1" s="3"/>
      <c r="F1" s="3"/>
      <c r="G1" s="3"/>
    </row>
    <row r="2" spans="1:7" x14ac:dyDescent="0.25">
      <c r="A2" s="7"/>
    </row>
    <row r="4" spans="1:7" x14ac:dyDescent="0.25">
      <c r="A4" s="2" t="s">
        <v>207</v>
      </c>
      <c r="B4" s="2"/>
      <c r="C4" s="2"/>
      <c r="D4" s="2"/>
      <c r="E4" s="2"/>
      <c r="F4" s="2"/>
      <c r="G4" s="2"/>
    </row>
    <row r="5" spans="1:7" x14ac:dyDescent="0.25">
      <c r="A5" s="38" t="s">
        <v>208</v>
      </c>
      <c r="B5" s="38" t="s">
        <v>209</v>
      </c>
      <c r="C5" s="38" t="s">
        <v>210</v>
      </c>
      <c r="D5" s="38" t="s">
        <v>211</v>
      </c>
      <c r="E5" s="38" t="s">
        <v>212</v>
      </c>
      <c r="F5" s="38" t="s">
        <v>213</v>
      </c>
      <c r="G5" s="38" t="s">
        <v>214</v>
      </c>
    </row>
    <row r="6" spans="1:7" x14ac:dyDescent="0.25">
      <c r="A6" s="34" t="s">
        <v>215</v>
      </c>
      <c r="B6" s="33" t="s">
        <v>216</v>
      </c>
      <c r="C6" s="34" t="s">
        <v>217</v>
      </c>
      <c r="D6" s="34" t="s">
        <v>218</v>
      </c>
      <c r="E6" s="34" t="s">
        <v>219</v>
      </c>
      <c r="F6" s="34" t="s">
        <v>220</v>
      </c>
      <c r="G6" s="34"/>
    </row>
    <row r="7" spans="1:7" x14ac:dyDescent="0.25">
      <c r="A7" s="37" t="s">
        <v>215</v>
      </c>
      <c r="B7" s="36" t="s">
        <v>221</v>
      </c>
      <c r="C7" s="37" t="s">
        <v>217</v>
      </c>
      <c r="D7" s="37" t="s">
        <v>218</v>
      </c>
      <c r="E7" s="37" t="s">
        <v>222</v>
      </c>
      <c r="F7" s="37" t="s">
        <v>223</v>
      </c>
      <c r="G7" s="37"/>
    </row>
    <row r="8" spans="1:7" x14ac:dyDescent="0.25">
      <c r="A8" s="34" t="s">
        <v>215</v>
      </c>
      <c r="B8" s="33" t="s">
        <v>224</v>
      </c>
      <c r="C8" s="34" t="s">
        <v>217</v>
      </c>
      <c r="D8" s="34" t="s">
        <v>218</v>
      </c>
      <c r="E8" s="34" t="s">
        <v>225</v>
      </c>
      <c r="F8" s="34" t="s">
        <v>226</v>
      </c>
      <c r="G8" s="34" t="s">
        <v>18</v>
      </c>
    </row>
    <row r="9" spans="1:7" ht="24" x14ac:dyDescent="0.25">
      <c r="A9" s="37" t="s">
        <v>215</v>
      </c>
      <c r="B9" s="36" t="s">
        <v>227</v>
      </c>
      <c r="C9" s="37" t="s">
        <v>217</v>
      </c>
      <c r="D9" s="37" t="s">
        <v>218</v>
      </c>
      <c r="E9" s="37" t="s">
        <v>228</v>
      </c>
      <c r="F9" s="37" t="s">
        <v>229</v>
      </c>
      <c r="G9" s="37" t="s">
        <v>24</v>
      </c>
    </row>
    <row r="10" spans="1:7" x14ac:dyDescent="0.25">
      <c r="A10" s="34" t="s">
        <v>215</v>
      </c>
      <c r="B10" s="33" t="s">
        <v>230</v>
      </c>
      <c r="C10" s="34" t="s">
        <v>231</v>
      </c>
      <c r="D10" s="34" t="s">
        <v>218</v>
      </c>
      <c r="E10" s="34" t="s">
        <v>232</v>
      </c>
      <c r="F10" s="34" t="s">
        <v>233</v>
      </c>
      <c r="G10" s="34" t="s">
        <v>24</v>
      </c>
    </row>
    <row r="11" spans="1:7" x14ac:dyDescent="0.25">
      <c r="A11" s="37" t="s">
        <v>215</v>
      </c>
      <c r="B11" s="36" t="s">
        <v>234</v>
      </c>
      <c r="C11" s="37" t="s">
        <v>235</v>
      </c>
      <c r="D11" s="37" t="s">
        <v>218</v>
      </c>
      <c r="E11" s="37" t="s">
        <v>236</v>
      </c>
      <c r="F11" s="37" t="s">
        <v>237</v>
      </c>
      <c r="G11" s="37"/>
    </row>
    <row r="12" spans="1:7" x14ac:dyDescent="0.25">
      <c r="A12" s="34" t="s">
        <v>215</v>
      </c>
      <c r="B12" s="33" t="s">
        <v>238</v>
      </c>
      <c r="C12" s="34" t="s">
        <v>235</v>
      </c>
      <c r="D12" s="34" t="s">
        <v>239</v>
      </c>
      <c r="E12" s="34" t="s">
        <v>240</v>
      </c>
      <c r="F12" s="34" t="s">
        <v>241</v>
      </c>
      <c r="G12" s="34" t="s">
        <v>18</v>
      </c>
    </row>
    <row r="14" spans="1:7" x14ac:dyDescent="0.25">
      <c r="A14" s="2" t="s">
        <v>242</v>
      </c>
      <c r="B14" s="2"/>
      <c r="C14" s="2"/>
      <c r="D14" s="2"/>
      <c r="E14" s="2"/>
      <c r="F14" s="2"/>
      <c r="G14" s="2"/>
    </row>
    <row r="15" spans="1:7" x14ac:dyDescent="0.25">
      <c r="A15" s="38" t="s">
        <v>208</v>
      </c>
      <c r="B15" s="38" t="s">
        <v>209</v>
      </c>
      <c r="C15" s="38" t="s">
        <v>210</v>
      </c>
      <c r="D15" s="38" t="s">
        <v>211</v>
      </c>
      <c r="E15" s="38" t="s">
        <v>212</v>
      </c>
      <c r="F15" s="38" t="s">
        <v>213</v>
      </c>
      <c r="G15" s="38" t="s">
        <v>214</v>
      </c>
    </row>
    <row r="16" spans="1:7" x14ac:dyDescent="0.25">
      <c r="A16" s="34" t="s">
        <v>243</v>
      </c>
      <c r="B16" s="33" t="s">
        <v>221</v>
      </c>
      <c r="C16" s="34" t="s">
        <v>217</v>
      </c>
      <c r="D16" s="34" t="s">
        <v>218</v>
      </c>
      <c r="E16" s="34" t="s">
        <v>244</v>
      </c>
      <c r="F16" s="34" t="s">
        <v>245</v>
      </c>
      <c r="G16" s="34"/>
    </row>
    <row r="17" spans="1:7" x14ac:dyDescent="0.25">
      <c r="A17" s="37" t="s">
        <v>243</v>
      </c>
      <c r="B17" s="36" t="s">
        <v>246</v>
      </c>
      <c r="C17" s="37" t="s">
        <v>217</v>
      </c>
      <c r="D17" s="37" t="s">
        <v>218</v>
      </c>
      <c r="E17" s="37" t="s">
        <v>247</v>
      </c>
      <c r="F17" s="37" t="s">
        <v>248</v>
      </c>
      <c r="G17" s="37"/>
    </row>
    <row r="18" spans="1:7" x14ac:dyDescent="0.25">
      <c r="A18" s="34" t="s">
        <v>243</v>
      </c>
      <c r="B18" s="33" t="s">
        <v>249</v>
      </c>
      <c r="C18" s="34" t="s">
        <v>217</v>
      </c>
      <c r="D18" s="34" t="s">
        <v>239</v>
      </c>
      <c r="E18" s="34" t="s">
        <v>250</v>
      </c>
      <c r="F18" s="34" t="s">
        <v>251</v>
      </c>
      <c r="G18" s="34"/>
    </row>
    <row r="19" spans="1:7" x14ac:dyDescent="0.25">
      <c r="A19" s="37" t="s">
        <v>243</v>
      </c>
      <c r="B19" s="36" t="s">
        <v>224</v>
      </c>
      <c r="C19" s="37" t="s">
        <v>217</v>
      </c>
      <c r="D19" s="37" t="s">
        <v>239</v>
      </c>
      <c r="E19" s="37" t="s">
        <v>252</v>
      </c>
      <c r="F19" s="37" t="s">
        <v>253</v>
      </c>
      <c r="G19" s="37"/>
    </row>
    <row r="20" spans="1:7" x14ac:dyDescent="0.25">
      <c r="A20" s="34" t="s">
        <v>243</v>
      </c>
      <c r="B20" s="33" t="s">
        <v>230</v>
      </c>
      <c r="C20" s="34" t="s">
        <v>231</v>
      </c>
      <c r="D20" s="34" t="s">
        <v>218</v>
      </c>
      <c r="E20" s="34" t="s">
        <v>254</v>
      </c>
      <c r="F20" s="34" t="s">
        <v>233</v>
      </c>
      <c r="G20" s="34"/>
    </row>
    <row r="22" spans="1:7" x14ac:dyDescent="0.25">
      <c r="A22" s="2" t="s">
        <v>255</v>
      </c>
      <c r="B22" s="2"/>
      <c r="C22" s="2"/>
      <c r="D22" s="2"/>
      <c r="E22" s="2"/>
      <c r="F22" s="2"/>
      <c r="G22" s="2"/>
    </row>
    <row r="23" spans="1:7" x14ac:dyDescent="0.25">
      <c r="A23" s="38" t="s">
        <v>208</v>
      </c>
      <c r="B23" s="38" t="s">
        <v>209</v>
      </c>
      <c r="C23" s="38" t="s">
        <v>210</v>
      </c>
      <c r="D23" s="38" t="s">
        <v>211</v>
      </c>
      <c r="E23" s="38" t="s">
        <v>212</v>
      </c>
      <c r="F23" s="38" t="s">
        <v>213</v>
      </c>
      <c r="G23" s="38" t="s">
        <v>214</v>
      </c>
    </row>
    <row r="24" spans="1:7" x14ac:dyDescent="0.25">
      <c r="A24" s="34" t="s">
        <v>256</v>
      </c>
      <c r="B24" s="33" t="s">
        <v>221</v>
      </c>
      <c r="C24" s="34" t="s">
        <v>217</v>
      </c>
      <c r="D24" s="34" t="s">
        <v>218</v>
      </c>
      <c r="E24" s="34" t="s">
        <v>257</v>
      </c>
      <c r="F24" s="34" t="s">
        <v>258</v>
      </c>
      <c r="G24" s="34"/>
    </row>
    <row r="25" spans="1:7" x14ac:dyDescent="0.25">
      <c r="A25" s="37" t="s">
        <v>256</v>
      </c>
      <c r="B25" s="36" t="s">
        <v>259</v>
      </c>
      <c r="C25" s="37" t="s">
        <v>231</v>
      </c>
      <c r="D25" s="37" t="s">
        <v>218</v>
      </c>
      <c r="E25" s="37" t="s">
        <v>254</v>
      </c>
      <c r="F25" s="37" t="s">
        <v>233</v>
      </c>
      <c r="G25" s="37"/>
    </row>
    <row r="27" spans="1:7" x14ac:dyDescent="0.25">
      <c r="A27" s="2" t="s">
        <v>260</v>
      </c>
      <c r="B27" s="2"/>
      <c r="C27" s="2"/>
      <c r="D27" s="2"/>
      <c r="E27" s="2"/>
      <c r="F27" s="2"/>
      <c r="G27" s="2"/>
    </row>
    <row r="28" spans="1:7" x14ac:dyDescent="0.25">
      <c r="A28" s="38" t="s">
        <v>208</v>
      </c>
      <c r="B28" s="38" t="s">
        <v>209</v>
      </c>
      <c r="C28" s="38" t="s">
        <v>210</v>
      </c>
      <c r="D28" s="38" t="s">
        <v>211</v>
      </c>
      <c r="E28" s="38" t="s">
        <v>212</v>
      </c>
      <c r="F28" s="38" t="s">
        <v>213</v>
      </c>
      <c r="G28" s="38" t="s">
        <v>214</v>
      </c>
    </row>
    <row r="29" spans="1:7" x14ac:dyDescent="0.25">
      <c r="A29" s="34" t="s">
        <v>261</v>
      </c>
      <c r="B29" s="33" t="s">
        <v>262</v>
      </c>
      <c r="C29" s="34" t="s">
        <v>217</v>
      </c>
      <c r="D29" s="34" t="s">
        <v>218</v>
      </c>
      <c r="E29" s="34" t="s">
        <v>263</v>
      </c>
      <c r="F29" s="34" t="s">
        <v>264</v>
      </c>
      <c r="G29" s="34" t="s">
        <v>265</v>
      </c>
    </row>
    <row r="30" spans="1:7" x14ac:dyDescent="0.25">
      <c r="A30" s="37" t="s">
        <v>261</v>
      </c>
      <c r="B30" s="36" t="s">
        <v>221</v>
      </c>
      <c r="C30" s="37" t="s">
        <v>217</v>
      </c>
      <c r="D30" s="37" t="s">
        <v>218</v>
      </c>
      <c r="E30" s="37" t="s">
        <v>266</v>
      </c>
      <c r="F30" s="37" t="s">
        <v>267</v>
      </c>
      <c r="G30" s="37" t="s">
        <v>29</v>
      </c>
    </row>
    <row r="31" spans="1:7" x14ac:dyDescent="0.25">
      <c r="A31" s="34" t="s">
        <v>261</v>
      </c>
      <c r="B31" s="33" t="s">
        <v>268</v>
      </c>
      <c r="C31" s="34" t="s">
        <v>217</v>
      </c>
      <c r="D31" s="34" t="s">
        <v>218</v>
      </c>
      <c r="E31" s="34" t="s">
        <v>269</v>
      </c>
      <c r="F31" s="34" t="s">
        <v>270</v>
      </c>
      <c r="G31" s="34" t="s">
        <v>34</v>
      </c>
    </row>
    <row r="32" spans="1:7" x14ac:dyDescent="0.25">
      <c r="A32" s="37" t="s">
        <v>261</v>
      </c>
      <c r="B32" s="36" t="s">
        <v>271</v>
      </c>
      <c r="C32" s="37" t="s">
        <v>217</v>
      </c>
      <c r="D32" s="37" t="s">
        <v>218</v>
      </c>
      <c r="E32" s="37" t="s">
        <v>272</v>
      </c>
      <c r="F32" s="37" t="s">
        <v>273</v>
      </c>
      <c r="G32" s="37"/>
    </row>
    <row r="33" spans="1:7" x14ac:dyDescent="0.25">
      <c r="A33" s="34" t="s">
        <v>261</v>
      </c>
      <c r="B33" s="33" t="s">
        <v>274</v>
      </c>
      <c r="C33" s="34" t="s">
        <v>217</v>
      </c>
      <c r="D33" s="34" t="s">
        <v>239</v>
      </c>
      <c r="E33" s="34" t="s">
        <v>275</v>
      </c>
      <c r="F33" s="34" t="s">
        <v>276</v>
      </c>
      <c r="G33" s="34"/>
    </row>
    <row r="34" spans="1:7" x14ac:dyDescent="0.25">
      <c r="A34" s="37" t="s">
        <v>261</v>
      </c>
      <c r="B34" s="36" t="s">
        <v>277</v>
      </c>
      <c r="C34" s="37" t="s">
        <v>217</v>
      </c>
      <c r="D34" s="37" t="s">
        <v>218</v>
      </c>
      <c r="E34" s="37" t="s">
        <v>278</v>
      </c>
      <c r="F34" s="37" t="s">
        <v>279</v>
      </c>
      <c r="G34" s="37" t="s">
        <v>29</v>
      </c>
    </row>
    <row r="35" spans="1:7" x14ac:dyDescent="0.25">
      <c r="A35" s="34" t="s">
        <v>261</v>
      </c>
      <c r="B35" s="33" t="s">
        <v>280</v>
      </c>
      <c r="C35" s="34" t="s">
        <v>231</v>
      </c>
      <c r="D35" s="34" t="s">
        <v>218</v>
      </c>
      <c r="E35" s="34" t="s">
        <v>281</v>
      </c>
      <c r="F35" s="34" t="s">
        <v>233</v>
      </c>
      <c r="G35" s="34" t="s">
        <v>29</v>
      </c>
    </row>
    <row r="36" spans="1:7" x14ac:dyDescent="0.25">
      <c r="A36" s="37" t="s">
        <v>261</v>
      </c>
      <c r="B36" s="36" t="s">
        <v>282</v>
      </c>
      <c r="C36" s="37" t="s">
        <v>283</v>
      </c>
      <c r="D36" s="37" t="s">
        <v>218</v>
      </c>
      <c r="E36" s="37" t="s">
        <v>284</v>
      </c>
      <c r="F36" s="37" t="s">
        <v>285</v>
      </c>
      <c r="G36" s="37"/>
    </row>
    <row r="37" spans="1:7" x14ac:dyDescent="0.25">
      <c r="A37" s="34" t="s">
        <v>261</v>
      </c>
      <c r="B37" s="33" t="s">
        <v>286</v>
      </c>
      <c r="C37" s="34" t="s">
        <v>283</v>
      </c>
      <c r="D37" s="34" t="s">
        <v>218</v>
      </c>
      <c r="E37" s="34" t="s">
        <v>287</v>
      </c>
      <c r="F37" s="34" t="s">
        <v>288</v>
      </c>
      <c r="G37" s="34"/>
    </row>
    <row r="38" spans="1:7" x14ac:dyDescent="0.25">
      <c r="A38" s="37" t="s">
        <v>261</v>
      </c>
      <c r="B38" s="36" t="s">
        <v>289</v>
      </c>
      <c r="C38" s="37" t="s">
        <v>283</v>
      </c>
      <c r="D38" s="37" t="s">
        <v>218</v>
      </c>
      <c r="E38" s="37" t="s">
        <v>290</v>
      </c>
      <c r="F38" s="37" t="s">
        <v>291</v>
      </c>
      <c r="G38" s="37" t="s">
        <v>43</v>
      </c>
    </row>
    <row r="39" spans="1:7" x14ac:dyDescent="0.25">
      <c r="A39" s="34" t="s">
        <v>261</v>
      </c>
      <c r="B39" s="33" t="s">
        <v>292</v>
      </c>
      <c r="C39" s="34" t="s">
        <v>283</v>
      </c>
      <c r="D39" s="34" t="s">
        <v>218</v>
      </c>
      <c r="E39" s="34" t="s">
        <v>293</v>
      </c>
      <c r="F39" s="34" t="s">
        <v>294</v>
      </c>
      <c r="G39" s="34" t="s">
        <v>61</v>
      </c>
    </row>
    <row r="40" spans="1:7" x14ac:dyDescent="0.25">
      <c r="A40" s="37" t="s">
        <v>261</v>
      </c>
      <c r="B40" s="36" t="s">
        <v>295</v>
      </c>
      <c r="C40" s="37" t="s">
        <v>217</v>
      </c>
      <c r="D40" s="37" t="s">
        <v>218</v>
      </c>
      <c r="E40" s="37" t="s">
        <v>296</v>
      </c>
      <c r="F40" s="37" t="s">
        <v>297</v>
      </c>
      <c r="G40" s="37" t="s">
        <v>298</v>
      </c>
    </row>
    <row r="41" spans="1:7" x14ac:dyDescent="0.25">
      <c r="A41" s="34" t="s">
        <v>261</v>
      </c>
      <c r="B41" s="33" t="s">
        <v>230</v>
      </c>
      <c r="C41" s="34" t="s">
        <v>231</v>
      </c>
      <c r="D41" s="34" t="s">
        <v>218</v>
      </c>
      <c r="E41" s="34" t="s">
        <v>299</v>
      </c>
      <c r="F41" s="34" t="s">
        <v>233</v>
      </c>
      <c r="G41" s="34" t="s">
        <v>38</v>
      </c>
    </row>
    <row r="42" spans="1:7" x14ac:dyDescent="0.25">
      <c r="A42" s="37" t="s">
        <v>261</v>
      </c>
      <c r="B42" s="36" t="s">
        <v>234</v>
      </c>
      <c r="C42" s="37" t="s">
        <v>235</v>
      </c>
      <c r="D42" s="37" t="s">
        <v>218</v>
      </c>
      <c r="E42" s="37" t="s">
        <v>236</v>
      </c>
      <c r="F42" s="37" t="s">
        <v>300</v>
      </c>
      <c r="G42" s="37"/>
    </row>
    <row r="43" spans="1:7" x14ac:dyDescent="0.25">
      <c r="A43" s="34" t="s">
        <v>261</v>
      </c>
      <c r="B43" s="33" t="s">
        <v>301</v>
      </c>
      <c r="C43" s="34" t="s">
        <v>235</v>
      </c>
      <c r="D43" s="34" t="s">
        <v>218</v>
      </c>
      <c r="E43" s="34" t="s">
        <v>302</v>
      </c>
      <c r="F43" s="34" t="s">
        <v>303</v>
      </c>
      <c r="G43" s="34" t="s">
        <v>36</v>
      </c>
    </row>
    <row r="44" spans="1:7" x14ac:dyDescent="0.25">
      <c r="A44" s="37" t="s">
        <v>261</v>
      </c>
      <c r="B44" s="36" t="s">
        <v>304</v>
      </c>
      <c r="C44" s="37" t="s">
        <v>217</v>
      </c>
      <c r="D44" s="37" t="s">
        <v>218</v>
      </c>
      <c r="E44" s="37" t="s">
        <v>305</v>
      </c>
      <c r="F44" s="37" t="s">
        <v>220</v>
      </c>
      <c r="G44" s="37"/>
    </row>
    <row r="46" spans="1:7" x14ac:dyDescent="0.25">
      <c r="A46" s="2" t="s">
        <v>306</v>
      </c>
      <c r="B46" s="2"/>
      <c r="C46" s="2"/>
      <c r="D46" s="2"/>
      <c r="E46" s="2"/>
      <c r="F46" s="2"/>
      <c r="G46" s="2"/>
    </row>
    <row r="47" spans="1:7" x14ac:dyDescent="0.25">
      <c r="A47" s="38" t="s">
        <v>208</v>
      </c>
      <c r="B47" s="38" t="s">
        <v>209</v>
      </c>
      <c r="C47" s="38" t="s">
        <v>210</v>
      </c>
      <c r="D47" s="38" t="s">
        <v>211</v>
      </c>
      <c r="E47" s="38" t="s">
        <v>212</v>
      </c>
      <c r="F47" s="38" t="s">
        <v>213</v>
      </c>
      <c r="G47" s="38" t="s">
        <v>214</v>
      </c>
    </row>
    <row r="48" spans="1:7" x14ac:dyDescent="0.25">
      <c r="A48" s="34" t="s">
        <v>307</v>
      </c>
      <c r="B48" s="33" t="s">
        <v>308</v>
      </c>
      <c r="C48" s="34" t="s">
        <v>217</v>
      </c>
      <c r="D48" s="34" t="s">
        <v>218</v>
      </c>
      <c r="E48" s="34" t="s">
        <v>309</v>
      </c>
      <c r="F48" s="34" t="s">
        <v>310</v>
      </c>
      <c r="G48" s="34" t="s">
        <v>45</v>
      </c>
    </row>
    <row r="49" spans="1:7" x14ac:dyDescent="0.25">
      <c r="A49" s="37" t="s">
        <v>307</v>
      </c>
      <c r="B49" s="36" t="s">
        <v>311</v>
      </c>
      <c r="C49" s="37" t="s">
        <v>217</v>
      </c>
      <c r="D49" s="37" t="s">
        <v>218</v>
      </c>
      <c r="E49" s="37" t="s">
        <v>312</v>
      </c>
      <c r="F49" s="37" t="s">
        <v>313</v>
      </c>
      <c r="G49" s="37"/>
    </row>
    <row r="50" spans="1:7" x14ac:dyDescent="0.25">
      <c r="A50" s="34" t="s">
        <v>307</v>
      </c>
      <c r="B50" s="33" t="s">
        <v>277</v>
      </c>
      <c r="C50" s="34" t="s">
        <v>217</v>
      </c>
      <c r="D50" s="34" t="s">
        <v>218</v>
      </c>
      <c r="E50" s="34" t="s">
        <v>314</v>
      </c>
      <c r="F50" s="34" t="s">
        <v>279</v>
      </c>
      <c r="G50" s="34" t="s">
        <v>45</v>
      </c>
    </row>
    <row r="51" spans="1:7" x14ac:dyDescent="0.25">
      <c r="A51" s="37" t="s">
        <v>307</v>
      </c>
      <c r="B51" s="36" t="s">
        <v>282</v>
      </c>
      <c r="C51" s="37" t="s">
        <v>283</v>
      </c>
      <c r="D51" s="37" t="s">
        <v>218</v>
      </c>
      <c r="E51" s="37" t="s">
        <v>315</v>
      </c>
      <c r="F51" s="37" t="s">
        <v>285</v>
      </c>
      <c r="G51" s="37"/>
    </row>
    <row r="52" spans="1:7" x14ac:dyDescent="0.25">
      <c r="A52" s="34" t="s">
        <v>307</v>
      </c>
      <c r="B52" s="33" t="s">
        <v>316</v>
      </c>
      <c r="C52" s="34" t="s">
        <v>217</v>
      </c>
      <c r="D52" s="34" t="s">
        <v>218</v>
      </c>
      <c r="E52" s="34" t="s">
        <v>317</v>
      </c>
      <c r="F52" s="34" t="s">
        <v>318</v>
      </c>
      <c r="G52" s="34"/>
    </row>
    <row r="53" spans="1:7" x14ac:dyDescent="0.25">
      <c r="A53" s="37" t="s">
        <v>307</v>
      </c>
      <c r="B53" s="36" t="s">
        <v>319</v>
      </c>
      <c r="C53" s="37" t="s">
        <v>235</v>
      </c>
      <c r="D53" s="37" t="s">
        <v>218</v>
      </c>
      <c r="E53" s="37" t="s">
        <v>320</v>
      </c>
      <c r="F53" s="37" t="s">
        <v>321</v>
      </c>
      <c r="G53" s="37" t="s">
        <v>45</v>
      </c>
    </row>
    <row r="54" spans="1:7" x14ac:dyDescent="0.25">
      <c r="A54" s="34" t="s">
        <v>307</v>
      </c>
      <c r="B54" s="33" t="s">
        <v>322</v>
      </c>
      <c r="C54" s="34" t="s">
        <v>235</v>
      </c>
      <c r="D54" s="34" t="s">
        <v>239</v>
      </c>
      <c r="E54" s="34" t="s">
        <v>323</v>
      </c>
      <c r="F54" s="34" t="s">
        <v>324</v>
      </c>
      <c r="G54" s="34" t="s">
        <v>54</v>
      </c>
    </row>
    <row r="55" spans="1:7" x14ac:dyDescent="0.25">
      <c r="A55" s="37" t="s">
        <v>307</v>
      </c>
      <c r="B55" s="36" t="s">
        <v>325</v>
      </c>
      <c r="C55" s="37" t="s">
        <v>217</v>
      </c>
      <c r="D55" s="37" t="s">
        <v>218</v>
      </c>
      <c r="E55" s="37" t="s">
        <v>326</v>
      </c>
      <c r="F55" s="37" t="s">
        <v>327</v>
      </c>
      <c r="G55" s="37"/>
    </row>
    <row r="56" spans="1:7" x14ac:dyDescent="0.25">
      <c r="A56" s="34" t="s">
        <v>307</v>
      </c>
      <c r="B56" s="33" t="s">
        <v>328</v>
      </c>
      <c r="C56" s="34" t="s">
        <v>217</v>
      </c>
      <c r="D56" s="34" t="s">
        <v>239</v>
      </c>
      <c r="E56" s="34" t="s">
        <v>329</v>
      </c>
      <c r="F56" s="34" t="s">
        <v>330</v>
      </c>
      <c r="G56" s="34" t="s">
        <v>54</v>
      </c>
    </row>
    <row r="58" spans="1:7" x14ac:dyDescent="0.25">
      <c r="A58" s="2" t="s">
        <v>331</v>
      </c>
      <c r="B58" s="2"/>
      <c r="C58" s="2"/>
      <c r="D58" s="2"/>
      <c r="E58" s="2"/>
      <c r="F58" s="2"/>
      <c r="G58" s="2"/>
    </row>
    <row r="59" spans="1:7" x14ac:dyDescent="0.25">
      <c r="A59" s="38" t="s">
        <v>208</v>
      </c>
      <c r="B59" s="38" t="s">
        <v>209</v>
      </c>
      <c r="C59" s="38" t="s">
        <v>210</v>
      </c>
      <c r="D59" s="38" t="s">
        <v>211</v>
      </c>
      <c r="E59" s="38" t="s">
        <v>212</v>
      </c>
      <c r="F59" s="38" t="s">
        <v>213</v>
      </c>
      <c r="G59" s="38" t="s">
        <v>214</v>
      </c>
    </row>
    <row r="60" spans="1:7" x14ac:dyDescent="0.25">
      <c r="A60" s="34" t="s">
        <v>332</v>
      </c>
      <c r="B60" s="33" t="s">
        <v>311</v>
      </c>
      <c r="C60" s="34" t="s">
        <v>217</v>
      </c>
      <c r="D60" s="34" t="s">
        <v>218</v>
      </c>
      <c r="E60" s="34" t="s">
        <v>312</v>
      </c>
      <c r="F60" s="34" t="s">
        <v>313</v>
      </c>
      <c r="G60" s="34"/>
    </row>
    <row r="61" spans="1:7" x14ac:dyDescent="0.25">
      <c r="A61" s="37" t="s">
        <v>332</v>
      </c>
      <c r="B61" s="36" t="s">
        <v>333</v>
      </c>
      <c r="C61" s="37" t="s">
        <v>217</v>
      </c>
      <c r="D61" s="37" t="s">
        <v>218</v>
      </c>
      <c r="E61" s="37" t="s">
        <v>334</v>
      </c>
      <c r="F61" s="37" t="s">
        <v>335</v>
      </c>
      <c r="G61" s="37"/>
    </row>
    <row r="62" spans="1:7" x14ac:dyDescent="0.25">
      <c r="A62" s="34" t="s">
        <v>332</v>
      </c>
      <c r="B62" s="33" t="s">
        <v>336</v>
      </c>
      <c r="C62" s="34" t="s">
        <v>217</v>
      </c>
      <c r="D62" s="34" t="s">
        <v>218</v>
      </c>
      <c r="E62" s="34" t="s">
        <v>337</v>
      </c>
      <c r="F62" s="34" t="s">
        <v>338</v>
      </c>
      <c r="G62" s="34" t="s">
        <v>45</v>
      </c>
    </row>
    <row r="63" spans="1:7" x14ac:dyDescent="0.25">
      <c r="A63" s="37" t="s">
        <v>332</v>
      </c>
      <c r="B63" s="36" t="s">
        <v>339</v>
      </c>
      <c r="C63" s="37" t="s">
        <v>283</v>
      </c>
      <c r="D63" s="37" t="s">
        <v>218</v>
      </c>
      <c r="E63" s="37" t="s">
        <v>340</v>
      </c>
      <c r="F63" s="37" t="s">
        <v>341</v>
      </c>
      <c r="G63" s="37"/>
    </row>
    <row r="64" spans="1:7" x14ac:dyDescent="0.25">
      <c r="A64" s="34" t="s">
        <v>332</v>
      </c>
      <c r="B64" s="33" t="s">
        <v>342</v>
      </c>
      <c r="C64" s="34" t="s">
        <v>343</v>
      </c>
      <c r="D64" s="34" t="s">
        <v>239</v>
      </c>
      <c r="E64" s="34" t="s">
        <v>344</v>
      </c>
      <c r="F64" s="34" t="s">
        <v>345</v>
      </c>
      <c r="G64" s="34"/>
    </row>
    <row r="65" spans="1:7" x14ac:dyDescent="0.25">
      <c r="A65" s="37" t="s">
        <v>332</v>
      </c>
      <c r="B65" s="36" t="s">
        <v>277</v>
      </c>
      <c r="C65" s="37" t="s">
        <v>217</v>
      </c>
      <c r="D65" s="37" t="s">
        <v>239</v>
      </c>
      <c r="E65" s="37" t="s">
        <v>346</v>
      </c>
      <c r="F65" s="37" t="s">
        <v>279</v>
      </c>
      <c r="G65" s="37" t="s">
        <v>45</v>
      </c>
    </row>
    <row r="66" spans="1:7" x14ac:dyDescent="0.25">
      <c r="A66" s="34" t="s">
        <v>332</v>
      </c>
      <c r="B66" s="33" t="s">
        <v>347</v>
      </c>
      <c r="C66" s="34" t="s">
        <v>283</v>
      </c>
      <c r="D66" s="34" t="s">
        <v>218</v>
      </c>
      <c r="E66" s="34" t="s">
        <v>348</v>
      </c>
      <c r="F66" s="34" t="s">
        <v>285</v>
      </c>
      <c r="G66" s="34"/>
    </row>
    <row r="67" spans="1:7" x14ac:dyDescent="0.25">
      <c r="A67" s="37" t="s">
        <v>332</v>
      </c>
      <c r="B67" s="36" t="s">
        <v>349</v>
      </c>
      <c r="C67" s="37" t="s">
        <v>283</v>
      </c>
      <c r="D67" s="37" t="s">
        <v>218</v>
      </c>
      <c r="E67" s="37" t="s">
        <v>350</v>
      </c>
      <c r="F67" s="37" t="s">
        <v>351</v>
      </c>
      <c r="G67" s="37"/>
    </row>
    <row r="68" spans="1:7" x14ac:dyDescent="0.25">
      <c r="A68" s="34" t="s">
        <v>332</v>
      </c>
      <c r="B68" s="33" t="s">
        <v>352</v>
      </c>
      <c r="C68" s="34" t="s">
        <v>283</v>
      </c>
      <c r="D68" s="34" t="s">
        <v>218</v>
      </c>
      <c r="E68" s="34" t="s">
        <v>353</v>
      </c>
      <c r="F68" s="34" t="s">
        <v>291</v>
      </c>
      <c r="G68" s="34"/>
    </row>
    <row r="69" spans="1:7" x14ac:dyDescent="0.25">
      <c r="A69" s="37" t="s">
        <v>332</v>
      </c>
      <c r="B69" s="36" t="s">
        <v>328</v>
      </c>
      <c r="C69" s="37" t="s">
        <v>217</v>
      </c>
      <c r="D69" s="37" t="s">
        <v>239</v>
      </c>
      <c r="E69" s="37" t="s">
        <v>354</v>
      </c>
      <c r="F69" s="37" t="s">
        <v>330</v>
      </c>
      <c r="G69" s="37" t="s">
        <v>54</v>
      </c>
    </row>
    <row r="70" spans="1:7" x14ac:dyDescent="0.25">
      <c r="A70" s="34" t="s">
        <v>332</v>
      </c>
      <c r="B70" s="33" t="s">
        <v>355</v>
      </c>
      <c r="C70" s="34" t="s">
        <v>217</v>
      </c>
      <c r="D70" s="34" t="s">
        <v>218</v>
      </c>
      <c r="E70" s="34" t="s">
        <v>356</v>
      </c>
      <c r="F70" s="34" t="s">
        <v>220</v>
      </c>
      <c r="G70" s="34" t="s">
        <v>47</v>
      </c>
    </row>
    <row r="71" spans="1:7" x14ac:dyDescent="0.25">
      <c r="A71" s="37" t="s">
        <v>332</v>
      </c>
      <c r="B71" s="36" t="s">
        <v>357</v>
      </c>
      <c r="C71" s="37" t="s">
        <v>235</v>
      </c>
      <c r="D71" s="37" t="s">
        <v>218</v>
      </c>
      <c r="E71" s="37" t="s">
        <v>358</v>
      </c>
      <c r="F71" s="37" t="s">
        <v>321</v>
      </c>
      <c r="G71" s="37" t="s">
        <v>47</v>
      </c>
    </row>
    <row r="73" spans="1:7" x14ac:dyDescent="0.25">
      <c r="A73" s="2" t="s">
        <v>359</v>
      </c>
      <c r="B73" s="2"/>
      <c r="C73" s="2"/>
      <c r="D73" s="2"/>
      <c r="E73" s="2"/>
      <c r="F73" s="2"/>
      <c r="G73" s="2"/>
    </row>
    <row r="74" spans="1:7" x14ac:dyDescent="0.25">
      <c r="A74" s="38" t="s">
        <v>208</v>
      </c>
      <c r="B74" s="38" t="s">
        <v>209</v>
      </c>
      <c r="C74" s="38" t="s">
        <v>210</v>
      </c>
      <c r="D74" s="38" t="s">
        <v>211</v>
      </c>
      <c r="E74" s="38" t="s">
        <v>212</v>
      </c>
      <c r="F74" s="38" t="s">
        <v>213</v>
      </c>
      <c r="G74" s="38" t="s">
        <v>214</v>
      </c>
    </row>
    <row r="75" spans="1:7" x14ac:dyDescent="0.25">
      <c r="A75" s="34" t="s">
        <v>360</v>
      </c>
      <c r="B75" s="33" t="s">
        <v>361</v>
      </c>
      <c r="C75" s="34" t="s">
        <v>283</v>
      </c>
      <c r="D75" s="34" t="s">
        <v>218</v>
      </c>
      <c r="E75" s="34" t="s">
        <v>362</v>
      </c>
      <c r="F75" s="34" t="s">
        <v>363</v>
      </c>
      <c r="G75" s="34"/>
    </row>
    <row r="76" spans="1:7" x14ac:dyDescent="0.25">
      <c r="A76" s="37" t="s">
        <v>360</v>
      </c>
      <c r="B76" s="36" t="s">
        <v>357</v>
      </c>
      <c r="C76" s="37" t="s">
        <v>235</v>
      </c>
      <c r="D76" s="37" t="s">
        <v>218</v>
      </c>
      <c r="E76" s="37" t="s">
        <v>364</v>
      </c>
      <c r="F76" s="37" t="s">
        <v>324</v>
      </c>
      <c r="G76" s="37" t="s">
        <v>56</v>
      </c>
    </row>
    <row r="77" spans="1:7" x14ac:dyDescent="0.25">
      <c r="A77" s="34" t="s">
        <v>360</v>
      </c>
      <c r="B77" s="33" t="s">
        <v>355</v>
      </c>
      <c r="C77" s="34" t="s">
        <v>217</v>
      </c>
      <c r="D77" s="34" t="s">
        <v>218</v>
      </c>
      <c r="E77" s="34" t="s">
        <v>365</v>
      </c>
      <c r="F77" s="34" t="s">
        <v>220</v>
      </c>
      <c r="G77" s="34"/>
    </row>
    <row r="78" spans="1:7" x14ac:dyDescent="0.25">
      <c r="A78" s="37" t="s">
        <v>360</v>
      </c>
      <c r="B78" s="36" t="s">
        <v>366</v>
      </c>
      <c r="C78" s="37" t="s">
        <v>217</v>
      </c>
      <c r="D78" s="37" t="s">
        <v>218</v>
      </c>
      <c r="E78" s="37" t="s">
        <v>367</v>
      </c>
      <c r="F78" s="37" t="s">
        <v>223</v>
      </c>
      <c r="G78" s="37"/>
    </row>
    <row r="79" spans="1:7" x14ac:dyDescent="0.25">
      <c r="A79" s="34" t="s">
        <v>360</v>
      </c>
      <c r="B79" s="33" t="s">
        <v>368</v>
      </c>
      <c r="C79" s="34" t="s">
        <v>217</v>
      </c>
      <c r="D79" s="34" t="s">
        <v>239</v>
      </c>
      <c r="E79" s="34" t="s">
        <v>369</v>
      </c>
      <c r="F79" s="34" t="s">
        <v>370</v>
      </c>
      <c r="G79" s="34"/>
    </row>
    <row r="80" spans="1:7" ht="24" x14ac:dyDescent="0.25">
      <c r="A80" s="37" t="s">
        <v>360</v>
      </c>
      <c r="B80" s="36" t="s">
        <v>371</v>
      </c>
      <c r="C80" s="37" t="s">
        <v>372</v>
      </c>
      <c r="D80" s="37" t="s">
        <v>218</v>
      </c>
      <c r="E80" s="37" t="s">
        <v>373</v>
      </c>
      <c r="F80" s="37" t="s">
        <v>374</v>
      </c>
      <c r="G80" s="37" t="s">
        <v>52</v>
      </c>
    </row>
    <row r="81" spans="1:7" x14ac:dyDescent="0.25">
      <c r="A81" s="34" t="s">
        <v>360</v>
      </c>
      <c r="B81" s="33" t="s">
        <v>375</v>
      </c>
      <c r="C81" s="34" t="s">
        <v>283</v>
      </c>
      <c r="D81" s="34" t="s">
        <v>218</v>
      </c>
      <c r="E81" s="34" t="s">
        <v>376</v>
      </c>
      <c r="F81" s="34" t="s">
        <v>288</v>
      </c>
      <c r="G81" s="34"/>
    </row>
    <row r="82" spans="1:7" x14ac:dyDescent="0.25">
      <c r="A82" s="37" t="s">
        <v>360</v>
      </c>
      <c r="B82" s="36" t="s">
        <v>316</v>
      </c>
      <c r="C82" s="37" t="s">
        <v>217</v>
      </c>
      <c r="D82" s="37" t="s">
        <v>218</v>
      </c>
      <c r="E82" s="37" t="s">
        <v>377</v>
      </c>
      <c r="F82" s="37" t="s">
        <v>378</v>
      </c>
      <c r="G82" s="37"/>
    </row>
    <row r="84" spans="1:7" x14ac:dyDescent="0.25">
      <c r="A84" s="2" t="s">
        <v>379</v>
      </c>
      <c r="B84" s="2"/>
      <c r="C84" s="2"/>
      <c r="D84" s="2"/>
      <c r="E84" s="2"/>
      <c r="F84" s="2"/>
      <c r="G84" s="2"/>
    </row>
    <row r="85" spans="1:7" x14ac:dyDescent="0.25">
      <c r="A85" s="38" t="s">
        <v>208</v>
      </c>
      <c r="B85" s="38" t="s">
        <v>209</v>
      </c>
      <c r="C85" s="38" t="s">
        <v>210</v>
      </c>
      <c r="D85" s="38" t="s">
        <v>211</v>
      </c>
      <c r="E85" s="38" t="s">
        <v>212</v>
      </c>
      <c r="F85" s="38" t="s">
        <v>213</v>
      </c>
      <c r="G85" s="38" t="s">
        <v>214</v>
      </c>
    </row>
    <row r="86" spans="1:7" x14ac:dyDescent="0.25">
      <c r="A86" s="34" t="s">
        <v>380</v>
      </c>
      <c r="B86" s="33" t="s">
        <v>311</v>
      </c>
      <c r="C86" s="34" t="s">
        <v>217</v>
      </c>
      <c r="D86" s="34" t="s">
        <v>218</v>
      </c>
      <c r="E86" s="34" t="s">
        <v>312</v>
      </c>
      <c r="F86" s="34" t="s">
        <v>313</v>
      </c>
      <c r="G86" s="34"/>
    </row>
    <row r="87" spans="1:7" x14ac:dyDescent="0.25">
      <c r="A87" s="37" t="s">
        <v>380</v>
      </c>
      <c r="B87" s="36" t="s">
        <v>333</v>
      </c>
      <c r="C87" s="37" t="s">
        <v>217</v>
      </c>
      <c r="D87" s="37" t="s">
        <v>218</v>
      </c>
      <c r="E87" s="37" t="s">
        <v>381</v>
      </c>
      <c r="F87" s="37" t="s">
        <v>335</v>
      </c>
      <c r="G87" s="37"/>
    </row>
    <row r="88" spans="1:7" x14ac:dyDescent="0.25">
      <c r="A88" s="34" t="s">
        <v>380</v>
      </c>
      <c r="B88" s="33" t="s">
        <v>336</v>
      </c>
      <c r="C88" s="34" t="s">
        <v>217</v>
      </c>
      <c r="D88" s="34" t="s">
        <v>218</v>
      </c>
      <c r="E88" s="34" t="s">
        <v>382</v>
      </c>
      <c r="F88" s="34" t="s">
        <v>383</v>
      </c>
      <c r="G88" s="34" t="s">
        <v>65</v>
      </c>
    </row>
    <row r="89" spans="1:7" x14ac:dyDescent="0.25">
      <c r="A89" s="37" t="s">
        <v>380</v>
      </c>
      <c r="B89" s="36" t="s">
        <v>289</v>
      </c>
      <c r="C89" s="37" t="s">
        <v>283</v>
      </c>
      <c r="D89" s="37" t="s">
        <v>218</v>
      </c>
      <c r="E89" s="37" t="s">
        <v>384</v>
      </c>
      <c r="F89" s="37" t="s">
        <v>385</v>
      </c>
      <c r="G89" s="37"/>
    </row>
    <row r="90" spans="1:7" x14ac:dyDescent="0.25">
      <c r="A90" s="34" t="s">
        <v>380</v>
      </c>
      <c r="B90" s="33" t="s">
        <v>292</v>
      </c>
      <c r="C90" s="34" t="s">
        <v>283</v>
      </c>
      <c r="D90" s="34" t="s">
        <v>218</v>
      </c>
      <c r="E90" s="34" t="s">
        <v>386</v>
      </c>
      <c r="F90" s="34" t="s">
        <v>294</v>
      </c>
      <c r="G90" s="34"/>
    </row>
    <row r="91" spans="1:7" x14ac:dyDescent="0.25">
      <c r="A91" s="37" t="s">
        <v>380</v>
      </c>
      <c r="B91" s="36" t="s">
        <v>357</v>
      </c>
      <c r="C91" s="37" t="s">
        <v>235</v>
      </c>
      <c r="D91" s="37" t="s">
        <v>218</v>
      </c>
      <c r="E91" s="37" t="s">
        <v>387</v>
      </c>
      <c r="F91" s="37" t="s">
        <v>388</v>
      </c>
      <c r="G91" s="37"/>
    </row>
    <row r="92" spans="1:7" x14ac:dyDescent="0.25">
      <c r="A92" s="34" t="s">
        <v>380</v>
      </c>
      <c r="B92" s="33" t="s">
        <v>389</v>
      </c>
      <c r="C92" s="34" t="s">
        <v>231</v>
      </c>
      <c r="D92" s="34" t="s">
        <v>218</v>
      </c>
      <c r="E92" s="34" t="s">
        <v>390</v>
      </c>
      <c r="F92" s="34" t="s">
        <v>391</v>
      </c>
      <c r="G92" s="34"/>
    </row>
    <row r="94" spans="1:7" x14ac:dyDescent="0.25">
      <c r="A94" s="2" t="s">
        <v>392</v>
      </c>
      <c r="B94" s="2"/>
      <c r="C94" s="2"/>
      <c r="D94" s="2"/>
      <c r="E94" s="2"/>
      <c r="F94" s="2"/>
      <c r="G94" s="2"/>
    </row>
    <row r="95" spans="1:7" x14ac:dyDescent="0.25">
      <c r="A95" s="38" t="s">
        <v>208</v>
      </c>
      <c r="B95" s="38" t="s">
        <v>209</v>
      </c>
      <c r="C95" s="38" t="s">
        <v>210</v>
      </c>
      <c r="D95" s="38" t="s">
        <v>211</v>
      </c>
      <c r="E95" s="38" t="s">
        <v>212</v>
      </c>
      <c r="F95" s="38" t="s">
        <v>213</v>
      </c>
      <c r="G95" s="38" t="s">
        <v>214</v>
      </c>
    </row>
    <row r="96" spans="1:7" x14ac:dyDescent="0.25">
      <c r="A96" s="34" t="s">
        <v>393</v>
      </c>
      <c r="B96" s="33" t="s">
        <v>357</v>
      </c>
      <c r="C96" s="34" t="s">
        <v>235</v>
      </c>
      <c r="D96" s="34" t="s">
        <v>218</v>
      </c>
      <c r="E96" s="34" t="s">
        <v>394</v>
      </c>
      <c r="F96" s="34" t="s">
        <v>395</v>
      </c>
      <c r="G96" s="34"/>
    </row>
    <row r="97" spans="1:7" x14ac:dyDescent="0.25">
      <c r="A97" s="37" t="s">
        <v>393</v>
      </c>
      <c r="B97" s="36" t="s">
        <v>396</v>
      </c>
      <c r="C97" s="37" t="s">
        <v>283</v>
      </c>
      <c r="D97" s="37" t="s">
        <v>218</v>
      </c>
      <c r="E97" s="37" t="s">
        <v>397</v>
      </c>
      <c r="F97" s="37" t="s">
        <v>398</v>
      </c>
      <c r="G97" s="37"/>
    </row>
    <row r="98" spans="1:7" x14ac:dyDescent="0.25">
      <c r="A98" s="34" t="s">
        <v>393</v>
      </c>
      <c r="B98" s="33" t="s">
        <v>399</v>
      </c>
      <c r="C98" s="34" t="s">
        <v>283</v>
      </c>
      <c r="D98" s="34" t="s">
        <v>218</v>
      </c>
      <c r="E98" s="34" t="s">
        <v>400</v>
      </c>
      <c r="F98" s="34" t="s">
        <v>401</v>
      </c>
      <c r="G98" s="34"/>
    </row>
    <row r="99" spans="1:7" x14ac:dyDescent="0.25">
      <c r="A99" s="37" t="s">
        <v>393</v>
      </c>
      <c r="B99" s="36" t="s">
        <v>402</v>
      </c>
      <c r="C99" s="37" t="s">
        <v>283</v>
      </c>
      <c r="D99" s="37" t="s">
        <v>218</v>
      </c>
      <c r="E99" s="37" t="s">
        <v>403</v>
      </c>
      <c r="F99" s="37" t="s">
        <v>404</v>
      </c>
      <c r="G99" s="37"/>
    </row>
    <row r="100" spans="1:7" x14ac:dyDescent="0.25">
      <c r="A100" s="34" t="s">
        <v>393</v>
      </c>
      <c r="B100" s="33" t="s">
        <v>405</v>
      </c>
      <c r="C100" s="34" t="s">
        <v>283</v>
      </c>
      <c r="D100" s="34" t="s">
        <v>218</v>
      </c>
      <c r="E100" s="34" t="s">
        <v>406</v>
      </c>
      <c r="F100" s="34" t="s">
        <v>407</v>
      </c>
      <c r="G100" s="34"/>
    </row>
    <row r="101" spans="1:7" x14ac:dyDescent="0.25">
      <c r="A101" s="37" t="s">
        <v>393</v>
      </c>
      <c r="B101" s="36" t="s">
        <v>408</v>
      </c>
      <c r="C101" s="37" t="s">
        <v>217</v>
      </c>
      <c r="D101" s="37" t="s">
        <v>218</v>
      </c>
      <c r="E101" s="37" t="s">
        <v>409</v>
      </c>
      <c r="F101" s="37" t="s">
        <v>220</v>
      </c>
      <c r="G101" s="37"/>
    </row>
    <row r="102" spans="1:7" x14ac:dyDescent="0.25">
      <c r="A102" s="34" t="s">
        <v>393</v>
      </c>
      <c r="B102" s="33" t="s">
        <v>410</v>
      </c>
      <c r="C102" s="34" t="s">
        <v>235</v>
      </c>
      <c r="D102" s="34" t="s">
        <v>218</v>
      </c>
      <c r="E102" s="34" t="s">
        <v>411</v>
      </c>
      <c r="F102" s="34" t="s">
        <v>412</v>
      </c>
      <c r="G102" s="34"/>
    </row>
    <row r="104" spans="1:7" x14ac:dyDescent="0.25">
      <c r="A104" s="39" t="s">
        <v>413</v>
      </c>
    </row>
    <row r="105" spans="1:7" ht="27.75" customHeight="1" x14ac:dyDescent="0.25">
      <c r="A105" s="1" t="s">
        <v>414</v>
      </c>
      <c r="B105" s="1"/>
      <c r="C105" s="1"/>
      <c r="D105" s="1"/>
      <c r="E105" s="1"/>
      <c r="F105" s="1"/>
      <c r="G105" s="1"/>
    </row>
    <row r="106" spans="1:7" ht="27.75" customHeight="1" x14ac:dyDescent="0.25">
      <c r="A106" s="1" t="s">
        <v>415</v>
      </c>
      <c r="B106" s="1"/>
      <c r="C106" s="1"/>
      <c r="D106" s="1"/>
      <c r="E106" s="1"/>
      <c r="F106" s="1"/>
      <c r="G106" s="1"/>
    </row>
    <row r="107" spans="1:7" ht="27.75" customHeight="1" x14ac:dyDescent="0.25">
      <c r="A107" s="1" t="s">
        <v>416</v>
      </c>
      <c r="B107" s="1"/>
      <c r="C107" s="1"/>
      <c r="D107" s="1"/>
      <c r="E107" s="1"/>
      <c r="F107" s="1"/>
      <c r="G107" s="1"/>
    </row>
    <row r="108" spans="1:7" ht="27.75" customHeight="1" x14ac:dyDescent="0.25">
      <c r="A108" s="1" t="s">
        <v>417</v>
      </c>
      <c r="B108" s="1"/>
      <c r="C108" s="1"/>
      <c r="D108" s="1"/>
      <c r="E108" s="1"/>
      <c r="F108" s="1"/>
      <c r="G108" s="1"/>
    </row>
    <row r="109" spans="1:7" ht="27.75" customHeight="1" x14ac:dyDescent="0.25">
      <c r="A109" s="1" t="s">
        <v>418</v>
      </c>
      <c r="B109" s="1"/>
      <c r="C109" s="1"/>
      <c r="D109" s="1"/>
      <c r="E109" s="1"/>
      <c r="F109" s="1"/>
      <c r="G109" s="1"/>
    </row>
    <row r="110" spans="1:7" ht="27.75" customHeight="1" x14ac:dyDescent="0.25">
      <c r="A110" s="1" t="s">
        <v>419</v>
      </c>
      <c r="B110" s="1"/>
      <c r="C110" s="1"/>
      <c r="D110" s="1"/>
      <c r="E110" s="1"/>
      <c r="F110" s="1"/>
      <c r="G110" s="1"/>
    </row>
    <row r="111" spans="1:7" ht="27.75" customHeight="1" x14ac:dyDescent="0.25">
      <c r="A111" s="1" t="s">
        <v>420</v>
      </c>
      <c r="B111" s="1"/>
      <c r="C111" s="1"/>
      <c r="D111" s="1"/>
      <c r="E111" s="1"/>
      <c r="F111" s="1"/>
      <c r="G111" s="1"/>
    </row>
    <row r="112" spans="1:7" ht="27.75" customHeight="1" x14ac:dyDescent="0.25">
      <c r="A112" s="1" t="s">
        <v>421</v>
      </c>
      <c r="B112" s="1"/>
      <c r="C112" s="1"/>
      <c r="D112" s="1"/>
      <c r="E112" s="1"/>
      <c r="F112" s="1"/>
      <c r="G112" s="1"/>
    </row>
  </sheetData>
  <mergeCells count="18">
    <mergeCell ref="A110:G110"/>
    <mergeCell ref="A111:G111"/>
    <mergeCell ref="A112:G112"/>
    <mergeCell ref="A105:G105"/>
    <mergeCell ref="A106:G106"/>
    <mergeCell ref="A107:G107"/>
    <mergeCell ref="A108:G108"/>
    <mergeCell ref="A109:G109"/>
    <mergeCell ref="A46:G46"/>
    <mergeCell ref="A58:G58"/>
    <mergeCell ref="A73:G73"/>
    <mergeCell ref="A84:G84"/>
    <mergeCell ref="A94:G94"/>
    <mergeCell ref="A1:G1"/>
    <mergeCell ref="A4:G4"/>
    <mergeCell ref="A14:G14"/>
    <mergeCell ref="A22:G22"/>
    <mergeCell ref="A27:G2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zoomScaleNormal="100" workbookViewId="0">
      <selection activeCell="A5" sqref="A5"/>
    </sheetView>
  </sheetViews>
  <sheetFormatPr baseColWidth="10" defaultColWidth="8.7109375" defaultRowHeight="15" x14ac:dyDescent="0.25"/>
  <cols>
    <col min="1" max="1" width="34" customWidth="1"/>
  </cols>
  <sheetData>
    <row r="1" spans="1:1" x14ac:dyDescent="0.25">
      <c r="A1" s="8" t="s">
        <v>422</v>
      </c>
    </row>
    <row r="2" spans="1:1" x14ac:dyDescent="0.25">
      <c r="A2" s="40">
        <v>46307</v>
      </c>
    </row>
    <row r="3" spans="1:1" x14ac:dyDescent="0.25">
      <c r="A3" s="40">
        <v>46328</v>
      </c>
    </row>
    <row r="4" spans="1:1" x14ac:dyDescent="0.25">
      <c r="A4" s="40">
        <v>46342</v>
      </c>
    </row>
    <row r="5" spans="1:1" x14ac:dyDescent="0.25">
      <c r="A5" s="40">
        <v>46364</v>
      </c>
    </row>
    <row r="6" spans="1:1" x14ac:dyDescent="0.25">
      <c r="A6" s="40">
        <v>46381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Cronograma</vt:lpstr>
      <vt:lpstr>Requerimientos</vt:lpstr>
      <vt:lpstr>Sprints</vt:lpstr>
      <vt:lpstr>Base de datos</vt:lpstr>
      <vt:lpstr>Festivos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Sala 312 C - Equipo 01</cp:lastModifiedBy>
  <cp:revision>0</cp:revision>
  <dcterms:created xsi:type="dcterms:W3CDTF">2026-09-24T12:03:57Z</dcterms:created>
  <dcterms:modified xsi:type="dcterms:W3CDTF">2026-09-24T12:13:13Z</dcterms:modified>
  <dc:language>en-US</dc:language>
</cp:coreProperties>
</file>